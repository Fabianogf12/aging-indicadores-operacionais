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cfa1cbfeea70883a/Área de Trabalho/"/>
    </mc:Choice>
  </mc:AlternateContent>
  <xr:revisionPtr revIDLastSave="8" documentId="8_{8E433573-60C9-4F0E-859E-FBF5117BE6A3}" xr6:coauthVersionLast="47" xr6:coauthVersionMax="47" xr10:uidLastSave="{0C25BE38-9536-4523-AA19-30E84F28FF53}"/>
  <bookViews>
    <workbookView xWindow="-108" yWindow="-108" windowWidth="23256" windowHeight="12456" xr2:uid="{00000000-000D-0000-FFFF-FFFF00000000}"/>
  </bookViews>
  <sheets>
    <sheet name="Chamados" sheetId="1" r:id="rId1"/>
  </sheets>
  <definedNames>
    <definedName name="_xlnm._FilterDatabase" localSheetId="0" hidden="1">Chamados!$B$5:$G$177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55" i="1" l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F173" i="1"/>
  <c r="F174" i="1"/>
  <c r="F175" i="1"/>
  <c r="F176" i="1"/>
  <c r="F177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G6" i="1"/>
  <c r="G11" i="1"/>
  <c r="F11" i="1"/>
  <c r="F8" i="1"/>
  <c r="F9" i="1"/>
  <c r="F10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G7" i="1"/>
  <c r="G8" i="1"/>
  <c r="G9" i="1"/>
  <c r="G10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7" i="1"/>
  <c r="F6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8" i="1"/>
  <c r="J7" i="1"/>
  <c r="J6" i="1"/>
  <c r="I5" i="1" l="1"/>
  <c r="O80" i="1"/>
  <c r="M138" i="1"/>
  <c r="O142" i="1"/>
  <c r="N118" i="1"/>
  <c r="L134" i="1"/>
  <c r="M47" i="1"/>
  <c r="L63" i="1"/>
  <c r="N168" i="1"/>
  <c r="N29" i="1"/>
  <c r="M45" i="1"/>
  <c r="O169" i="1"/>
  <c r="K108" i="1"/>
  <c r="N101" i="1"/>
  <c r="O121" i="1"/>
  <c r="O165" i="1"/>
  <c r="O26" i="1"/>
  <c r="O38" i="1"/>
  <c r="M70" i="1"/>
  <c r="M118" i="1"/>
  <c r="N10" i="1"/>
  <c r="N151" i="1"/>
  <c r="N93" i="1"/>
  <c r="M13" i="1"/>
  <c r="L129" i="1"/>
  <c r="M65" i="1"/>
  <c r="O82" i="1"/>
  <c r="L174" i="1"/>
  <c r="M98" i="1"/>
  <c r="N11" i="1"/>
  <c r="K99" i="1"/>
  <c r="O79" i="1"/>
  <c r="M164" i="1"/>
  <c r="M116" i="1"/>
  <c r="M168" i="1"/>
  <c r="M14" i="1"/>
  <c r="O93" i="1"/>
  <c r="M176" i="1"/>
  <c r="N27" i="1"/>
  <c r="O90" i="1"/>
  <c r="N98" i="1"/>
  <c r="M161" i="1"/>
  <c r="M165" i="1"/>
  <c r="O111" i="1"/>
  <c r="K167" i="1"/>
  <c r="N65" i="1"/>
  <c r="M77" i="1"/>
  <c r="O81" i="1"/>
  <c r="O127" i="1"/>
  <c r="L131" i="1"/>
  <c r="O147" i="1"/>
  <c r="M151" i="1"/>
  <c r="N69" i="1"/>
  <c r="M155" i="1"/>
  <c r="M159" i="1"/>
  <c r="L108" i="1"/>
  <c r="M132" i="1"/>
  <c r="O34" i="1"/>
  <c r="O54" i="1"/>
  <c r="M7" i="1"/>
  <c r="O19" i="1"/>
  <c r="L27" i="1"/>
  <c r="N31" i="1"/>
  <c r="K51" i="1"/>
  <c r="O55" i="1"/>
  <c r="N63" i="1"/>
  <c r="K96" i="1"/>
  <c r="M110" i="1"/>
  <c r="O114" i="1"/>
  <c r="N133" i="1"/>
  <c r="K137" i="1"/>
  <c r="O141" i="1"/>
  <c r="N50" i="1"/>
  <c r="O8" i="1"/>
  <c r="O20" i="1"/>
  <c r="K24" i="1"/>
  <c r="O27" i="1"/>
  <c r="N77" i="1"/>
  <c r="K81" i="1"/>
  <c r="O106" i="1"/>
  <c r="M129" i="1"/>
  <c r="M101" i="1"/>
  <c r="N70" i="1"/>
  <c r="M99" i="1"/>
  <c r="O103" i="1"/>
  <c r="O56" i="1"/>
  <c r="K60" i="1"/>
  <c r="O70" i="1"/>
  <c r="N82" i="1"/>
  <c r="M97" i="1"/>
  <c r="O99" i="1"/>
  <c r="M29" i="1"/>
  <c r="O75" i="1"/>
  <c r="M119" i="1"/>
  <c r="L176" i="1"/>
  <c r="O58" i="1"/>
  <c r="M136" i="1"/>
  <c r="K95" i="1"/>
  <c r="K14" i="1"/>
  <c r="O45" i="1"/>
  <c r="O57" i="1"/>
  <c r="O65" i="1"/>
  <c r="O98" i="1"/>
  <c r="L7" i="1"/>
  <c r="N34" i="1"/>
  <c r="N45" i="1"/>
  <c r="M63" i="1"/>
  <c r="O120" i="1"/>
  <c r="L167" i="1"/>
  <c r="M170" i="1"/>
  <c r="K63" i="1"/>
  <c r="N106" i="1"/>
  <c r="O91" i="1"/>
  <c r="K110" i="1"/>
  <c r="L164" i="1"/>
  <c r="M167" i="1"/>
  <c r="M11" i="1"/>
  <c r="O42" i="1"/>
  <c r="O60" i="1"/>
  <c r="L114" i="1"/>
  <c r="O12" i="1"/>
  <c r="O22" i="1"/>
  <c r="O29" i="1"/>
  <c r="O39" i="1"/>
  <c r="N43" i="1"/>
  <c r="O46" i="1"/>
  <c r="O50" i="1"/>
  <c r="M53" i="1"/>
  <c r="O63" i="1"/>
  <c r="K84" i="1"/>
  <c r="O92" i="1"/>
  <c r="L104" i="1"/>
  <c r="M114" i="1"/>
  <c r="K117" i="1"/>
  <c r="M125" i="1"/>
  <c r="L147" i="1"/>
  <c r="N147" i="1"/>
  <c r="L161" i="1"/>
  <c r="O168" i="1"/>
  <c r="O18" i="1"/>
  <c r="N67" i="1"/>
  <c r="O74" i="1"/>
  <c r="N114" i="1"/>
  <c r="K132" i="1"/>
  <c r="M135" i="1"/>
  <c r="O151" i="1"/>
  <c r="L16" i="1"/>
  <c r="O172" i="1"/>
  <c r="N172" i="1"/>
  <c r="L29" i="1"/>
  <c r="M33" i="1"/>
  <c r="O36" i="1"/>
  <c r="O44" i="1"/>
  <c r="O62" i="1"/>
  <c r="M89" i="1"/>
  <c r="K93" i="1"/>
  <c r="K129" i="1"/>
  <c r="O159" i="1"/>
  <c r="N165" i="1"/>
  <c r="L168" i="1"/>
  <c r="K116" i="1"/>
  <c r="N16" i="1"/>
  <c r="K27" i="1"/>
  <c r="N129" i="1"/>
  <c r="N136" i="1"/>
  <c r="M163" i="1"/>
  <c r="O163" i="1"/>
  <c r="N163" i="1"/>
  <c r="M6" i="1"/>
  <c r="L45" i="1"/>
  <c r="N86" i="1"/>
  <c r="L99" i="1"/>
  <c r="K113" i="1"/>
  <c r="O129" i="1"/>
  <c r="M133" i="1"/>
  <c r="K17" i="1"/>
  <c r="M27" i="1"/>
  <c r="N33" i="1"/>
  <c r="N41" i="1"/>
  <c r="O48" i="1"/>
  <c r="N79" i="1"/>
  <c r="L93" i="1"/>
  <c r="O21" i="1"/>
  <c r="O24" i="1"/>
  <c r="M34" i="1"/>
  <c r="L65" i="1"/>
  <c r="M69" i="1"/>
  <c r="O72" i="1"/>
  <c r="M82" i="1"/>
  <c r="M93" i="1"/>
  <c r="O96" i="1"/>
  <c r="O102" i="1"/>
  <c r="O145" i="1"/>
  <c r="M149" i="1"/>
  <c r="O166" i="1"/>
  <c r="O138" i="1"/>
  <c r="K152" i="1"/>
  <c r="M156" i="1"/>
  <c r="N169" i="1"/>
  <c r="K153" i="1"/>
  <c r="L140" i="1"/>
  <c r="O162" i="1"/>
  <c r="K165" i="1"/>
  <c r="M174" i="1"/>
  <c r="N53" i="1"/>
  <c r="M128" i="1"/>
  <c r="L128" i="1"/>
  <c r="N6" i="1"/>
  <c r="K8" i="1"/>
  <c r="O11" i="1"/>
  <c r="O15" i="1"/>
  <c r="K21" i="1"/>
  <c r="O28" i="1"/>
  <c r="O33" i="1"/>
  <c r="N36" i="1"/>
  <c r="K41" i="1"/>
  <c r="M46" i="1"/>
  <c r="N51" i="1"/>
  <c r="K57" i="1"/>
  <c r="O64" i="1"/>
  <c r="O69" i="1"/>
  <c r="N72" i="1"/>
  <c r="M86" i="1"/>
  <c r="K89" i="1"/>
  <c r="O101" i="1"/>
  <c r="M122" i="1"/>
  <c r="L125" i="1"/>
  <c r="M134" i="1"/>
  <c r="O136" i="1"/>
  <c r="N159" i="1"/>
  <c r="M162" i="1"/>
  <c r="N17" i="1"/>
  <c r="L8" i="1"/>
  <c r="L13" i="1"/>
  <c r="L21" i="1"/>
  <c r="K23" i="1"/>
  <c r="M26" i="1"/>
  <c r="K36" i="1"/>
  <c r="L39" i="1"/>
  <c r="L41" i="1"/>
  <c r="N46" i="1"/>
  <c r="O51" i="1"/>
  <c r="L57" i="1"/>
  <c r="K59" i="1"/>
  <c r="M62" i="1"/>
  <c r="K72" i="1"/>
  <c r="L83" i="1"/>
  <c r="M107" i="1"/>
  <c r="L107" i="1"/>
  <c r="K107" i="1"/>
  <c r="M140" i="1"/>
  <c r="N144" i="1"/>
  <c r="L144" i="1"/>
  <c r="K144" i="1"/>
  <c r="K149" i="1"/>
  <c r="K162" i="1"/>
  <c r="M173" i="1"/>
  <c r="L173" i="1"/>
  <c r="K173" i="1"/>
  <c r="N26" i="1"/>
  <c r="M10" i="1"/>
  <c r="K39" i="1"/>
  <c r="M41" i="1"/>
  <c r="M57" i="1"/>
  <c r="O87" i="1"/>
  <c r="N87" i="1"/>
  <c r="M87" i="1"/>
  <c r="O126" i="1"/>
  <c r="N126" i="1"/>
  <c r="K126" i="1"/>
  <c r="L149" i="1"/>
  <c r="N162" i="1"/>
  <c r="O6" i="1"/>
  <c r="N8" i="1"/>
  <c r="K11" i="1"/>
  <c r="O14" i="1"/>
  <c r="N19" i="1"/>
  <c r="N21" i="1"/>
  <c r="O32" i="1"/>
  <c r="M39" i="1"/>
  <c r="N55" i="1"/>
  <c r="N57" i="1"/>
  <c r="O68" i="1"/>
  <c r="M73" i="1"/>
  <c r="M75" i="1"/>
  <c r="L81" i="1"/>
  <c r="N99" i="1"/>
  <c r="K101" i="1"/>
  <c r="L116" i="1"/>
  <c r="L119" i="1"/>
  <c r="O123" i="1"/>
  <c r="N123" i="1"/>
  <c r="O132" i="1"/>
  <c r="N132" i="1"/>
  <c r="L132" i="1"/>
  <c r="K134" i="1"/>
  <c r="M147" i="1"/>
  <c r="N157" i="1"/>
  <c r="O157" i="1"/>
  <c r="L170" i="1"/>
  <c r="M8" i="1"/>
  <c r="N13" i="1"/>
  <c r="M21" i="1"/>
  <c r="O31" i="1"/>
  <c r="N62" i="1"/>
  <c r="O67" i="1"/>
  <c r="K75" i="1"/>
  <c r="N7" i="1"/>
  <c r="L11" i="1"/>
  <c r="M16" i="1"/>
  <c r="N24" i="1"/>
  <c r="K29" i="1"/>
  <c r="N39" i="1"/>
  <c r="K45" i="1"/>
  <c r="N52" i="1"/>
  <c r="N60" i="1"/>
  <c r="K65" i="1"/>
  <c r="N75" i="1"/>
  <c r="O78" i="1"/>
  <c r="M81" i="1"/>
  <c r="N84" i="1"/>
  <c r="N96" i="1"/>
  <c r="L101" i="1"/>
  <c r="K119" i="1"/>
  <c r="O144" i="1"/>
  <c r="O94" i="1"/>
  <c r="M94" i="1"/>
  <c r="M51" i="1"/>
  <c r="M50" i="1"/>
  <c r="O53" i="1"/>
  <c r="N81" i="1"/>
  <c r="O84" i="1"/>
  <c r="K87" i="1"/>
  <c r="N91" i="1"/>
  <c r="O105" i="1"/>
  <c r="N105" i="1"/>
  <c r="M105" i="1"/>
  <c r="N117" i="1"/>
  <c r="M117" i="1"/>
  <c r="L117" i="1"/>
  <c r="O171" i="1"/>
  <c r="N171" i="1"/>
  <c r="L171" i="1"/>
  <c r="K171" i="1"/>
  <c r="O177" i="1"/>
  <c r="N177" i="1"/>
  <c r="L177" i="1"/>
  <c r="L14" i="1"/>
  <c r="M22" i="1"/>
  <c r="K33" i="1"/>
  <c r="M40" i="1"/>
  <c r="N48" i="1"/>
  <c r="K53" i="1"/>
  <c r="M58" i="1"/>
  <c r="K69" i="1"/>
  <c r="N76" i="1"/>
  <c r="M88" i="1"/>
  <c r="M108" i="1"/>
  <c r="N112" i="1"/>
  <c r="O112" i="1"/>
  <c r="O115" i="1"/>
  <c r="N115" i="1"/>
  <c r="M127" i="1"/>
  <c r="N142" i="1"/>
  <c r="N145" i="1"/>
  <c r="N174" i="1"/>
  <c r="M177" i="1"/>
  <c r="L17" i="1"/>
  <c r="N22" i="1"/>
  <c r="L33" i="1"/>
  <c r="M35" i="1"/>
  <c r="M38" i="1"/>
  <c r="O41" i="1"/>
  <c r="K48" i="1"/>
  <c r="L51" i="1"/>
  <c r="L53" i="1"/>
  <c r="N58" i="1"/>
  <c r="L69" i="1"/>
  <c r="M71" i="1"/>
  <c r="M74" i="1"/>
  <c r="O86" i="1"/>
  <c r="O89" i="1"/>
  <c r="N89" i="1"/>
  <c r="L89" i="1"/>
  <c r="N108" i="1"/>
  <c r="N127" i="1"/>
  <c r="O130" i="1"/>
  <c r="N130" i="1"/>
  <c r="M130" i="1"/>
  <c r="N166" i="1"/>
  <c r="O174" i="1"/>
  <c r="K177" i="1"/>
  <c r="O148" i="1"/>
  <c r="N148" i="1"/>
  <c r="M148" i="1"/>
  <c r="L10" i="1"/>
  <c r="M17" i="1"/>
  <c r="O30" i="1"/>
  <c r="N38" i="1"/>
  <c r="O43" i="1"/>
  <c r="O66" i="1"/>
  <c r="N74" i="1"/>
  <c r="N94" i="1"/>
  <c r="N109" i="1"/>
  <c r="M109" i="1"/>
  <c r="M146" i="1"/>
  <c r="L146" i="1"/>
  <c r="K146" i="1"/>
  <c r="O175" i="1"/>
  <c r="N175" i="1"/>
  <c r="O77" i="1"/>
  <c r="L87" i="1"/>
  <c r="L105" i="1"/>
  <c r="M123" i="1"/>
  <c r="M153" i="1"/>
  <c r="M171" i="1"/>
  <c r="M126" i="1"/>
  <c r="M141" i="1"/>
  <c r="M144" i="1"/>
  <c r="M150" i="1"/>
  <c r="K77" i="1"/>
  <c r="N103" i="1"/>
  <c r="N121" i="1"/>
  <c r="K158" i="1"/>
  <c r="L75" i="1"/>
  <c r="L77" i="1"/>
  <c r="N100" i="1"/>
  <c r="L110" i="1"/>
  <c r="N139" i="1"/>
  <c r="L165" i="1"/>
  <c r="L25" i="1"/>
  <c r="K25" i="1"/>
  <c r="K35" i="1"/>
  <c r="L61" i="1"/>
  <c r="K61" i="1"/>
  <c r="M76" i="1"/>
  <c r="M64" i="1"/>
  <c r="O125" i="1"/>
  <c r="N125" i="1"/>
  <c r="L24" i="1"/>
  <c r="L72" i="1"/>
  <c r="L84" i="1"/>
  <c r="L96" i="1"/>
  <c r="O107" i="1"/>
  <c r="N107" i="1"/>
  <c r="O116" i="1"/>
  <c r="N116" i="1"/>
  <c r="L127" i="1"/>
  <c r="K127" i="1"/>
  <c r="K138" i="1"/>
  <c r="O146" i="1"/>
  <c r="N146" i="1"/>
  <c r="L153" i="1"/>
  <c r="K155" i="1"/>
  <c r="L163" i="1"/>
  <c r="K163" i="1"/>
  <c r="O167" i="1"/>
  <c r="N167" i="1"/>
  <c r="O173" i="1"/>
  <c r="N173" i="1"/>
  <c r="L154" i="1"/>
  <c r="K154" i="1"/>
  <c r="L85" i="1"/>
  <c r="K85" i="1"/>
  <c r="O161" i="1"/>
  <c r="N161" i="1"/>
  <c r="L36" i="1"/>
  <c r="L48" i="1"/>
  <c r="O17" i="1"/>
  <c r="M19" i="1"/>
  <c r="O23" i="1"/>
  <c r="M24" i="1"/>
  <c r="K26" i="1"/>
  <c r="L28" i="1"/>
  <c r="K28" i="1"/>
  <c r="M31" i="1"/>
  <c r="O35" i="1"/>
  <c r="M36" i="1"/>
  <c r="K38" i="1"/>
  <c r="L40" i="1"/>
  <c r="K40" i="1"/>
  <c r="M43" i="1"/>
  <c r="O47" i="1"/>
  <c r="M48" i="1"/>
  <c r="K50" i="1"/>
  <c r="L52" i="1"/>
  <c r="K52" i="1"/>
  <c r="M55" i="1"/>
  <c r="O59" i="1"/>
  <c r="M60" i="1"/>
  <c r="K62" i="1"/>
  <c r="L64" i="1"/>
  <c r="K64" i="1"/>
  <c r="M67" i="1"/>
  <c r="O71" i="1"/>
  <c r="M72" i="1"/>
  <c r="K74" i="1"/>
  <c r="L76" i="1"/>
  <c r="K76" i="1"/>
  <c r="M79" i="1"/>
  <c r="O83" i="1"/>
  <c r="M84" i="1"/>
  <c r="K86" i="1"/>
  <c r="L88" i="1"/>
  <c r="K88" i="1"/>
  <c r="M91" i="1"/>
  <c r="O95" i="1"/>
  <c r="M96" i="1"/>
  <c r="K98" i="1"/>
  <c r="L100" i="1"/>
  <c r="K100" i="1"/>
  <c r="M103" i="1"/>
  <c r="K105" i="1"/>
  <c r="O108" i="1"/>
  <c r="M112" i="1"/>
  <c r="K114" i="1"/>
  <c r="O117" i="1"/>
  <c r="M121" i="1"/>
  <c r="K123" i="1"/>
  <c r="O131" i="1"/>
  <c r="N131" i="1"/>
  <c r="L138" i="1"/>
  <c r="K140" i="1"/>
  <c r="L148" i="1"/>
  <c r="K148" i="1"/>
  <c r="N153" i="1"/>
  <c r="L155" i="1"/>
  <c r="M157" i="1"/>
  <c r="K159" i="1"/>
  <c r="M169" i="1"/>
  <c r="L169" i="1"/>
  <c r="K169" i="1"/>
  <c r="M175" i="1"/>
  <c r="L175" i="1"/>
  <c r="K175" i="1"/>
  <c r="L142" i="1"/>
  <c r="K142" i="1"/>
  <c r="L60" i="1"/>
  <c r="N14" i="1"/>
  <c r="K7" i="1"/>
  <c r="K10" i="1"/>
  <c r="K13" i="1"/>
  <c r="K16" i="1"/>
  <c r="L26" i="1"/>
  <c r="L38" i="1"/>
  <c r="L50" i="1"/>
  <c r="L62" i="1"/>
  <c r="L74" i="1"/>
  <c r="L86" i="1"/>
  <c r="L98" i="1"/>
  <c r="L109" i="1"/>
  <c r="K109" i="1"/>
  <c r="L118" i="1"/>
  <c r="K118" i="1"/>
  <c r="L123" i="1"/>
  <c r="K125" i="1"/>
  <c r="L133" i="1"/>
  <c r="K133" i="1"/>
  <c r="N138" i="1"/>
  <c r="M142" i="1"/>
  <c r="O152" i="1"/>
  <c r="N152" i="1"/>
  <c r="O153" i="1"/>
  <c r="L159" i="1"/>
  <c r="K161" i="1"/>
  <c r="L49" i="1"/>
  <c r="K49" i="1"/>
  <c r="M52" i="1"/>
  <c r="O16" i="1"/>
  <c r="L23" i="1"/>
  <c r="N40" i="1"/>
  <c r="L47" i="1"/>
  <c r="N64" i="1"/>
  <c r="L71" i="1"/>
  <c r="K135" i="1"/>
  <c r="L160" i="1"/>
  <c r="K160" i="1"/>
  <c r="M28" i="1"/>
  <c r="L37" i="1"/>
  <c r="K37" i="1"/>
  <c r="K71" i="1"/>
  <c r="K131" i="1"/>
  <c r="O13" i="1"/>
  <c r="N28" i="1"/>
  <c r="L35" i="1"/>
  <c r="K90" i="1"/>
  <c r="K6" i="1"/>
  <c r="O10" i="1"/>
  <c r="K15" i="1"/>
  <c r="L42" i="1"/>
  <c r="O52" i="1"/>
  <c r="M59" i="1"/>
  <c r="L66" i="1"/>
  <c r="O76" i="1"/>
  <c r="L78" i="1"/>
  <c r="M83" i="1"/>
  <c r="O88" i="1"/>
  <c r="L90" i="1"/>
  <c r="M95" i="1"/>
  <c r="O100" i="1"/>
  <c r="L102" i="1"/>
  <c r="L106" i="1"/>
  <c r="K106" i="1"/>
  <c r="L111" i="1"/>
  <c r="L115" i="1"/>
  <c r="K115" i="1"/>
  <c r="L120" i="1"/>
  <c r="O128" i="1"/>
  <c r="N128" i="1"/>
  <c r="M131" i="1"/>
  <c r="L135" i="1"/>
  <c r="L145" i="1"/>
  <c r="K145" i="1"/>
  <c r="N150" i="1"/>
  <c r="L152" i="1"/>
  <c r="M154" i="1"/>
  <c r="K156" i="1"/>
  <c r="O164" i="1"/>
  <c r="N164" i="1"/>
  <c r="O170" i="1"/>
  <c r="N170" i="1"/>
  <c r="O176" i="1"/>
  <c r="N176" i="1"/>
  <c r="O137" i="1"/>
  <c r="N137" i="1"/>
  <c r="K47" i="1"/>
  <c r="M100" i="1"/>
  <c r="K150" i="1"/>
  <c r="K30" i="1"/>
  <c r="K54" i="1"/>
  <c r="K111" i="1"/>
  <c r="K120" i="1"/>
  <c r="O143" i="1"/>
  <c r="N143" i="1"/>
  <c r="L150" i="1"/>
  <c r="O7" i="1"/>
  <c r="O40" i="1"/>
  <c r="L54" i="1"/>
  <c r="L6" i="1"/>
  <c r="L12" i="1"/>
  <c r="L15" i="1"/>
  <c r="M18" i="1"/>
  <c r="K20" i="1"/>
  <c r="L22" i="1"/>
  <c r="K22" i="1"/>
  <c r="N23" i="1"/>
  <c r="M25" i="1"/>
  <c r="M30" i="1"/>
  <c r="K32" i="1"/>
  <c r="L34" i="1"/>
  <c r="K34" i="1"/>
  <c r="N35" i="1"/>
  <c r="M37" i="1"/>
  <c r="M42" i="1"/>
  <c r="K44" i="1"/>
  <c r="L46" i="1"/>
  <c r="K46" i="1"/>
  <c r="N47" i="1"/>
  <c r="M49" i="1"/>
  <c r="M54" i="1"/>
  <c r="K56" i="1"/>
  <c r="L58" i="1"/>
  <c r="K58" i="1"/>
  <c r="N59" i="1"/>
  <c r="M61" i="1"/>
  <c r="M66" i="1"/>
  <c r="K68" i="1"/>
  <c r="L70" i="1"/>
  <c r="K70" i="1"/>
  <c r="N71" i="1"/>
  <c r="M78" i="1"/>
  <c r="K80" i="1"/>
  <c r="L82" i="1"/>
  <c r="K82" i="1"/>
  <c r="N83" i="1"/>
  <c r="M85" i="1"/>
  <c r="M90" i="1"/>
  <c r="K92" i="1"/>
  <c r="L94" i="1"/>
  <c r="K94" i="1"/>
  <c r="N95" i="1"/>
  <c r="M102" i="1"/>
  <c r="K104" i="1"/>
  <c r="O109" i="1"/>
  <c r="M111" i="1"/>
  <c r="O118" i="1"/>
  <c r="M120" i="1"/>
  <c r="K122" i="1"/>
  <c r="L130" i="1"/>
  <c r="K130" i="1"/>
  <c r="O133" i="1"/>
  <c r="N135" i="1"/>
  <c r="L137" i="1"/>
  <c r="M139" i="1"/>
  <c r="K141" i="1"/>
  <c r="O149" i="1"/>
  <c r="N149" i="1"/>
  <c r="O150" i="1"/>
  <c r="M152" i="1"/>
  <c r="N154" i="1"/>
  <c r="L156" i="1"/>
  <c r="M166" i="1"/>
  <c r="L166" i="1"/>
  <c r="K166" i="1"/>
  <c r="M172" i="1"/>
  <c r="L172" i="1"/>
  <c r="K172" i="1"/>
  <c r="L73" i="1"/>
  <c r="K73" i="1"/>
  <c r="K83" i="1"/>
  <c r="L97" i="1"/>
  <c r="K97" i="1"/>
  <c r="O113" i="1"/>
  <c r="N113" i="1"/>
  <c r="O158" i="1"/>
  <c r="N158" i="1"/>
  <c r="K18" i="1"/>
  <c r="L59" i="1"/>
  <c r="K66" i="1"/>
  <c r="N88" i="1"/>
  <c r="L95" i="1"/>
  <c r="K102" i="1"/>
  <c r="L124" i="1"/>
  <c r="K124" i="1"/>
  <c r="K12" i="1"/>
  <c r="M15" i="1"/>
  <c r="N18" i="1"/>
  <c r="L20" i="1"/>
  <c r="N30" i="1"/>
  <c r="L32" i="1"/>
  <c r="N49" i="1"/>
  <c r="N66" i="1"/>
  <c r="L68" i="1"/>
  <c r="N73" i="1"/>
  <c r="N78" i="1"/>
  <c r="L80" i="1"/>
  <c r="N90" i="1"/>
  <c r="L92" i="1"/>
  <c r="N97" i="1"/>
  <c r="O110" i="1"/>
  <c r="N110" i="1"/>
  <c r="N120" i="1"/>
  <c r="O134" i="1"/>
  <c r="N134" i="1"/>
  <c r="O135" i="1"/>
  <c r="M137" i="1"/>
  <c r="L141" i="1"/>
  <c r="K143" i="1"/>
  <c r="L151" i="1"/>
  <c r="K151" i="1"/>
  <c r="O154" i="1"/>
  <c r="N156" i="1"/>
  <c r="L158" i="1"/>
  <c r="M160" i="1"/>
  <c r="O104" i="1"/>
  <c r="N104" i="1"/>
  <c r="L139" i="1"/>
  <c r="K139" i="1"/>
  <c r="K42" i="1"/>
  <c r="K78" i="1"/>
  <c r="L18" i="1"/>
  <c r="M23" i="1"/>
  <c r="L30" i="1"/>
  <c r="M12" i="1"/>
  <c r="N25" i="1"/>
  <c r="N37" i="1"/>
  <c r="N42" i="1"/>
  <c r="L44" i="1"/>
  <c r="N54" i="1"/>
  <c r="L56" i="1"/>
  <c r="N61" i="1"/>
  <c r="N85" i="1"/>
  <c r="N102" i="1"/>
  <c r="N111" i="1"/>
  <c r="L113" i="1"/>
  <c r="O119" i="1"/>
  <c r="N119" i="1"/>
  <c r="L122" i="1"/>
  <c r="M124" i="1"/>
  <c r="N12" i="1"/>
  <c r="N15" i="1"/>
  <c r="M20" i="1"/>
  <c r="O25" i="1"/>
  <c r="M32" i="1"/>
  <c r="O37" i="1"/>
  <c r="M44" i="1"/>
  <c r="O49" i="1"/>
  <c r="M56" i="1"/>
  <c r="O61" i="1"/>
  <c r="M68" i="1"/>
  <c r="O73" i="1"/>
  <c r="M80" i="1"/>
  <c r="O85" i="1"/>
  <c r="M92" i="1"/>
  <c r="O97" i="1"/>
  <c r="M104" i="1"/>
  <c r="M106" i="1"/>
  <c r="M113" i="1"/>
  <c r="M115" i="1"/>
  <c r="N124" i="1"/>
  <c r="L126" i="1"/>
  <c r="K128" i="1"/>
  <c r="L136" i="1"/>
  <c r="K136" i="1"/>
  <c r="O139" i="1"/>
  <c r="N141" i="1"/>
  <c r="L143" i="1"/>
  <c r="M145" i="1"/>
  <c r="K147" i="1"/>
  <c r="O155" i="1"/>
  <c r="N155" i="1"/>
  <c r="O156" i="1"/>
  <c r="M158" i="1"/>
  <c r="N160" i="1"/>
  <c r="L162" i="1"/>
  <c r="K164" i="1"/>
  <c r="K168" i="1"/>
  <c r="K170" i="1"/>
  <c r="K174" i="1"/>
  <c r="K176" i="1"/>
  <c r="O122" i="1"/>
  <c r="N122" i="1"/>
  <c r="L19" i="1"/>
  <c r="K19" i="1"/>
  <c r="N20" i="1"/>
  <c r="L31" i="1"/>
  <c r="K31" i="1"/>
  <c r="N32" i="1"/>
  <c r="L43" i="1"/>
  <c r="K43" i="1"/>
  <c r="N44" i="1"/>
  <c r="L55" i="1"/>
  <c r="K55" i="1"/>
  <c r="N56" i="1"/>
  <c r="L67" i="1"/>
  <c r="K67" i="1"/>
  <c r="N68" i="1"/>
  <c r="L79" i="1"/>
  <c r="K79" i="1"/>
  <c r="N80" i="1"/>
  <c r="L91" i="1"/>
  <c r="K91" i="1"/>
  <c r="N92" i="1"/>
  <c r="L103" i="1"/>
  <c r="K103" i="1"/>
  <c r="L112" i="1"/>
  <c r="K112" i="1"/>
  <c r="L121" i="1"/>
  <c r="K121" i="1"/>
  <c r="O124" i="1"/>
  <c r="O140" i="1"/>
  <c r="N140" i="1"/>
  <c r="M143" i="1"/>
  <c r="L157" i="1"/>
  <c r="K157" i="1"/>
  <c r="O160" i="1"/>
</calcChain>
</file>

<file path=xl/sharedStrings.xml><?xml version="1.0" encoding="utf-8"?>
<sst xmlns="http://schemas.openxmlformats.org/spreadsheetml/2006/main" count="32" uniqueCount="32">
  <si>
    <t xml:space="preserve">Média Aging </t>
  </si>
  <si>
    <t>ID Clarify</t>
  </si>
  <si>
    <t>Nome do cliente</t>
  </si>
  <si>
    <t>Data de Início</t>
  </si>
  <si>
    <t>Data de Fechamento</t>
  </si>
  <si>
    <t>Dias em Aberto</t>
  </si>
  <si>
    <t>Nosso Prazo</t>
  </si>
  <si>
    <t>Observação</t>
  </si>
  <si>
    <t>Visível</t>
  </si>
  <si>
    <t>0-5</t>
  </si>
  <si>
    <t>6-8</t>
  </si>
  <si>
    <t>9</t>
  </si>
  <si>
    <t>10</t>
  </si>
  <si>
    <t>&gt;10</t>
  </si>
  <si>
    <t>gravação id 118507</t>
  </si>
  <si>
    <t>Aguradando parcer de antifraude (teste)</t>
  </si>
  <si>
    <t>Esperando gravação</t>
  </si>
  <si>
    <t>202500000001</t>
  </si>
  <si>
    <t>ANA BEATRIZ MOURA</t>
  </si>
  <si>
    <t>202500000002</t>
  </si>
  <si>
    <t>LUCAS PEREIRA BRAGANÇA</t>
  </si>
  <si>
    <t>202500000003</t>
  </si>
  <si>
    <t>CARLOS EDUARDO SANTOS</t>
  </si>
  <si>
    <t>202500000004</t>
  </si>
  <si>
    <t>JULIANA MACHADO FERREIRA</t>
  </si>
  <si>
    <t>202500000005</t>
  </si>
  <si>
    <t>MARCIA CRISTINA OLIVEIRA</t>
  </si>
  <si>
    <t>202500000006</t>
  </si>
  <si>
    <t>ROBERTO LIMA CAVALCANTI</t>
  </si>
  <si>
    <t>202500000007</t>
  </si>
  <si>
    <t>BIANCA DOS REIS CARVALHO</t>
  </si>
  <si>
    <t>Aguardando documento complementar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</si>
</sst>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B3D86"/>
      <name val="Calibri"/>
      <family val="2"/>
      <scheme val="minor"/>
    </font>
    <font>
      <b/>
      <sz val="14"/>
      <color theme="0"/>
      <name val="Calibri"/>
    </font>
    <font>
      <sz val="14"/>
      <color theme="0"/>
      <name val="Calibri"/>
      <family val="2"/>
      <scheme val="minor"/>
    </font>
    <font>
      <b/>
      <sz val="13"/>
      <color theme="1"/>
      <name val="Calibri"/>
      <family val="2"/>
    </font>
    <font>
      <b/>
      <sz val="19"/>
      <color theme="1"/>
      <name val="Calibri"/>
      <family val="2"/>
    </font>
    <font>
      <b/>
      <sz val="14"/>
      <name val="Calibri"/>
    </font>
    <font>
      <b/>
      <sz val="14"/>
      <color theme="0"/>
      <name val="Calibri"/>
      <family val="2"/>
    </font>
    <font>
      <u/>
      <sz val="11"/>
      <color theme="10"/>
      <name val="Calibri"/>
      <family val="2"/>
      <scheme val="minor"/>
    </font>
    <font>
      <b/>
      <sz val="14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B3D86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5">
    <xf numFmtId="0" fontId="0" fillId="0" borderId="0" xfId="0"/>
    <xf numFmtId="1" fontId="3" fillId="2" borderId="1" xfId="0" applyNumberFormat="1" applyFont="1" applyFill="1" applyBorder="1" applyAlignment="1" applyProtection="1">
      <alignment horizontal="center"/>
    </xf>
    <xf numFmtId="0" fontId="0" fillId="4" borderId="0" xfId="0" applyFill="1" applyProtection="1">
      <protection locked="0"/>
    </xf>
    <xf numFmtId="0" fontId="6" fillId="3" borderId="0" xfId="0" applyFont="1" applyFill="1" applyAlignment="1" applyProtection="1">
      <alignment horizontal="center" vertical="center"/>
      <protection locked="0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49" fontId="2" fillId="2" borderId="1" xfId="0" applyNumberFormat="1" applyFont="1" applyFill="1" applyBorder="1" applyAlignment="1" applyProtection="1">
      <alignment horizontal="center"/>
      <protection locked="0"/>
    </xf>
    <xf numFmtId="0" fontId="2" fillId="2" borderId="1" xfId="0" applyFont="1" applyFill="1" applyBorder="1" applyAlignment="1" applyProtection="1">
      <alignment horizontal="center"/>
      <protection locked="0"/>
    </xf>
    <xf numFmtId="14" fontId="2" fillId="2" borderId="1" xfId="0" applyNumberFormat="1" applyFont="1" applyFill="1" applyBorder="1" applyAlignment="1" applyProtection="1">
      <alignment horizontal="center"/>
      <protection locked="0"/>
    </xf>
    <xf numFmtId="0" fontId="11" fillId="5" borderId="5" xfId="1" applyFill="1" applyBorder="1" applyProtection="1">
      <protection locked="0"/>
    </xf>
    <xf numFmtId="0" fontId="0" fillId="0" borderId="0" xfId="0" applyProtection="1">
      <protection locked="0"/>
    </xf>
    <xf numFmtId="0" fontId="0" fillId="5" borderId="5" xfId="0" applyFill="1" applyBorder="1" applyProtection="1">
      <protection locked="0"/>
    </xf>
    <xf numFmtId="0" fontId="1" fillId="5" borderId="5" xfId="0" applyFont="1" applyFill="1" applyBorder="1" applyProtection="1">
      <protection locked="0"/>
    </xf>
    <xf numFmtId="49" fontId="0" fillId="0" borderId="0" xfId="0" applyNumberFormat="1" applyProtection="1">
      <protection locked="0"/>
    </xf>
    <xf numFmtId="0" fontId="0" fillId="0" borderId="0" xfId="0" applyAlignment="1" applyProtection="1">
      <alignment horizontal="center"/>
      <protection locked="0"/>
    </xf>
    <xf numFmtId="14" fontId="0" fillId="0" borderId="0" xfId="0" applyNumberFormat="1" applyProtection="1">
      <protection locked="0"/>
    </xf>
    <xf numFmtId="0" fontId="4" fillId="4" borderId="0" xfId="0" applyFont="1" applyFill="1" applyAlignment="1" applyProtection="1">
      <alignment horizontal="center"/>
    </xf>
    <xf numFmtId="0" fontId="4" fillId="4" borderId="0" xfId="0" applyFont="1" applyFill="1" applyProtection="1"/>
    <xf numFmtId="0" fontId="0" fillId="4" borderId="0" xfId="0" applyFill="1" applyProtection="1"/>
    <xf numFmtId="0" fontId="7" fillId="0" borderId="0" xfId="0" applyFont="1" applyAlignment="1" applyProtection="1">
      <alignment horizontal="center"/>
    </xf>
    <xf numFmtId="0" fontId="5" fillId="3" borderId="2" xfId="0" applyFont="1" applyFill="1" applyBorder="1" applyAlignment="1" applyProtection="1">
      <alignment horizontal="center" vertical="center"/>
    </xf>
    <xf numFmtId="0" fontId="9" fillId="0" borderId="2" xfId="0" applyFont="1" applyBorder="1" applyAlignment="1" applyProtection="1">
      <alignment horizontal="center"/>
    </xf>
    <xf numFmtId="164" fontId="8" fillId="2" borderId="0" xfId="0" applyNumberFormat="1" applyFont="1" applyFill="1" applyAlignment="1" applyProtection="1">
      <alignment horizontal="center"/>
    </xf>
    <xf numFmtId="0" fontId="1" fillId="4" borderId="3" xfId="0" applyFont="1" applyFill="1" applyBorder="1" applyAlignment="1" applyProtection="1">
      <alignment horizontal="center"/>
    </xf>
    <xf numFmtId="0" fontId="0" fillId="2" borderId="6" xfId="0" applyFill="1" applyBorder="1" applyAlignment="1" applyProtection="1">
      <alignment horizontal="center"/>
    </xf>
    <xf numFmtId="0" fontId="0" fillId="0" borderId="0" xfId="0" applyProtection="1"/>
    <xf numFmtId="164" fontId="0" fillId="4" borderId="0" xfId="0" applyNumberFormat="1" applyFill="1" applyProtection="1"/>
    <xf numFmtId="14" fontId="0" fillId="4" borderId="0" xfId="0" applyNumberFormat="1" applyFill="1" applyProtection="1"/>
    <xf numFmtId="0" fontId="0" fillId="2" borderId="6" xfId="0" applyFill="1" applyBorder="1" applyProtection="1"/>
    <xf numFmtId="1" fontId="0" fillId="0" borderId="0" xfId="0" applyNumberFormat="1" applyProtection="1"/>
    <xf numFmtId="0" fontId="12" fillId="3" borderId="2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 applyProtection="1">
      <alignment horizontal="center"/>
      <protection locked="0"/>
    </xf>
    <xf numFmtId="0" fontId="2" fillId="2" borderId="4" xfId="0" applyFont="1" applyFill="1" applyBorder="1" applyAlignment="1" applyProtection="1">
      <alignment horizontal="center"/>
      <protection locked="0"/>
    </xf>
    <xf numFmtId="14" fontId="2" fillId="2" borderId="4" xfId="0" applyNumberFormat="1" applyFont="1" applyFill="1" applyBorder="1" applyAlignment="1" applyProtection="1">
      <alignment horizontal="center"/>
      <protection locked="0"/>
    </xf>
    <xf numFmtId="0" fontId="0" fillId="4" borderId="0" xfId="0" applyFill="1" applyAlignment="1" applyProtection="1">
      <alignment horizontal="center"/>
    </xf>
    <xf numFmtId="0" fontId="0" fillId="4" borderId="0" xfId="0" applyFill="1" applyAlignment="1" applyProtection="1">
      <alignment horizontal="center"/>
      <protection locked="0"/>
    </xf>
  </cellXfs>
  <cellStyles count="2">
    <cellStyle name="Hyperlink" xfId="1" xr:uid="{00000000-000B-0000-0000-000008000000}"/>
    <cellStyle name="Normal" xfId="0" builtinId="0"/>
  </cellStyles>
  <dxfs count="12">
    <dxf>
      <numFmt numFmtId="1" formatCode="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DDDDD"/>
        </left>
        <right style="thin">
          <color rgb="FFDDDDDD"/>
        </right>
        <top/>
        <bottom/>
      </border>
      <protection locked="0" hidden="0"/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mruColors>
      <color rgb="FF0B3D86"/>
      <color rgb="FF3D6CA1"/>
      <color rgb="FFCC8885"/>
      <color rgb="FF003366"/>
      <color rgb="FFDDDDDD"/>
      <color rgb="FF0066CC"/>
      <color rgb="FFCCECFF"/>
      <color rgb="FFCFF2FF"/>
      <color rgb="FFD9EA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962025</xdr:colOff>
      <xdr:row>1</xdr:row>
      <xdr:rowOff>0</xdr:rowOff>
    </xdr:from>
    <xdr:to>
      <xdr:col>2</xdr:col>
      <xdr:colOff>962025</xdr:colOff>
      <xdr:row>1</xdr:row>
      <xdr:rowOff>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D1B04D8-FA4E-4588-8483-8B8BE1AF6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5" y="323850"/>
          <a:ext cx="0" cy="0"/>
        </a:xfrm>
        <a:prstGeom prst="rect">
          <a:avLst/>
        </a:prstGeom>
      </xdr:spPr>
    </xdr:pic>
    <xdr:clientData/>
  </xdr:twoCellAnchor>
  <xdr:twoCellAnchor editAs="oneCell">
    <xdr:from>
      <xdr:col>8</xdr:col>
      <xdr:colOff>86285</xdr:colOff>
      <xdr:row>0</xdr:row>
      <xdr:rowOff>9525</xdr:rowOff>
    </xdr:from>
    <xdr:to>
      <xdr:col>8</xdr:col>
      <xdr:colOff>839321</xdr:colOff>
      <xdr:row>1</xdr:row>
      <xdr:rowOff>430867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075D0094-F88E-415B-886A-48B9903BC241}"/>
            </a:ext>
            <a:ext uri="{147F2762-F138-4A5C-976F-8EAC2B608ADB}">
              <a16:predDERef xmlns:a16="http://schemas.microsoft.com/office/drawing/2014/main" pred="{6D1B04D8-FA4E-4588-8483-8B8BE1AF6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alphaModFix amt="64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64160" y="9525"/>
          <a:ext cx="753036" cy="7451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1752600</xdr:colOff>
      <xdr:row>3</xdr:row>
      <xdr:rowOff>219075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3A7EAA4-E0A4-0FC9-D106-65BB7C0398BD}"/>
            </a:ext>
            <a:ext uri="{147F2762-F138-4A5C-976F-8EAC2B608ADB}">
              <a16:predDERef xmlns:a16="http://schemas.microsoft.com/office/drawing/2014/main" pred="{075D0094-F88E-415B-886A-48B9903BC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3672840" cy="1316355"/>
        </a:xfrm>
        <a:prstGeom prst="rect">
          <a:avLst/>
        </a:prstGeom>
      </xdr:spPr>
    </xdr:pic>
    <xdr:clientData/>
  </xdr:twoCellAnchor>
  <xdr:twoCellAnchor>
    <xdr:from>
      <xdr:col>3</xdr:col>
      <xdr:colOff>1057275</xdr:colOff>
      <xdr:row>1</xdr:row>
      <xdr:rowOff>76200</xdr:rowOff>
    </xdr:from>
    <xdr:to>
      <xdr:col>6</xdr:col>
      <xdr:colOff>666750</xdr:colOff>
      <xdr:row>3</xdr:row>
      <xdr:rowOff>47625</xdr:rowOff>
    </xdr:to>
    <xdr:sp macro="" textlink="">
      <xdr:nvSpPr>
        <xdr:cNvPr id="6" name="TextBox 4">
          <a:extLst>
            <a:ext uri="{FF2B5EF4-FFF2-40B4-BE49-F238E27FC236}">
              <a16:creationId xmlns:a16="http://schemas.microsoft.com/office/drawing/2014/main" id="{CF196743-3E20-BE78-A41D-6FB7C4809B73}"/>
            </a:ext>
            <a:ext uri="{147F2762-F138-4A5C-976F-8EAC2B608ADB}">
              <a16:predDERef xmlns:a16="http://schemas.microsoft.com/office/drawing/2014/main" pred="{13A7EAA4-E0A4-0FC9-D106-65BB7C0398BD}"/>
            </a:ext>
          </a:extLst>
        </xdr:cNvPr>
        <xdr:cNvSpPr txBox="1"/>
      </xdr:nvSpPr>
      <xdr:spPr>
        <a:xfrm>
          <a:off x="5469255" y="403860"/>
          <a:ext cx="4958715" cy="741045"/>
        </a:xfrm>
        <a:prstGeom prst="rect">
          <a:avLst/>
        </a:prstGeom>
        <a:solidFill>
          <a:srgbClr val="0B3D86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2400" b="1">
              <a:solidFill>
                <a:schemeClr val="bg1"/>
              </a:solidFill>
              <a:latin typeface="+mn-lt"/>
              <a:ea typeface="+mn-lt"/>
              <a:cs typeface="+mn-lt"/>
            </a:rPr>
            <a:t>Painel de Chamados &amp; Aging Control</a:t>
          </a:r>
        </a:p>
      </xdr:txBody>
    </xdr:sp>
    <xdr:clientData/>
  </xdr:twoCellAnchor>
  <xdr:twoCellAnchor editAs="oneCell">
    <xdr:from>
      <xdr:col>8</xdr:col>
      <xdr:colOff>7620</xdr:colOff>
      <xdr:row>5</xdr:row>
      <xdr:rowOff>15240</xdr:rowOff>
    </xdr:from>
    <xdr:to>
      <xdr:col>15</xdr:col>
      <xdr:colOff>574637</xdr:colOff>
      <xdr:row>14</xdr:row>
      <xdr:rowOff>72390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9A857A2-7A99-494C-AFDC-071DA831669E}"/>
            </a:ext>
            <a:ext uri="{147F2762-F138-4A5C-976F-8EAC2B608ADB}">
              <a16:predDERef xmlns:a16="http://schemas.microsoft.com/office/drawing/2014/main" pred="{CF196743-3E20-BE78-A41D-6FB7C4809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51880" y="1684020"/>
          <a:ext cx="1549997" cy="170307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EFC9C89-7815-4A20-85B0-CCB02E8FF39C}" name="Tabela5" displayName="Tabela5" ref="B5:F177" totalsRowShown="0" headerRowDxfId="7" dataDxfId="6" tableBorderDxfId="5">
  <autoFilter ref="B5:F177" xr:uid="{1EFC9C89-7815-4A20-85B0-CCB02E8FF39C}"/>
  <tableColumns count="5">
    <tableColumn id="1" xr3:uid="{F5B444F0-5CEF-4FD6-A7FB-F26F8413D636}" name="ID Clarify" dataDxfId="4"/>
    <tableColumn id="2" xr3:uid="{619CBEA6-B3B4-4206-9B96-F2870B5C529B}" name="Nome do cliente" dataDxfId="3"/>
    <tableColumn id="3" xr3:uid="{E5397661-2454-4974-8790-7E08943E1DCD}" name="Data de Início" dataDxfId="2"/>
    <tableColumn id="6" xr3:uid="{7CD7D1FD-52A1-4E48-AF79-EE32F4532F10}" name="Data de Fechamento" dataDxfId="1"/>
    <tableColumn id="8" xr3:uid="{35302683-6C30-4DCC-A267-225680D06A9C}" name="Dias em Aberto" dataDxfId="0">
      <calculatedColumnFormula>IF(AND($D6&lt;&gt;"", ISNUMBER($D6)), IF(AND($E6&lt;&gt;"", ISNUMBER($E6)), $E6-$D6, TODAY()-$D6), "")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im-manuais.strategybigdata.com.br/monitoria_clientis/inicio.php?menu=idmoni&amp;idmoni=118507" TargetMode="External"/><Relationship Id="rId2" Type="http://schemas.openxmlformats.org/officeDocument/2006/relationships/hyperlink" Target="https://siebelcrm.internal.timbrasil.com.br/siebel/app/crc/ptb?SWECmd=GotoView&amp;SWEView=TCC_Service_Request_Detail_View_Pros&amp;SWERF=1&amp;SWEHo=&amp;SWEBU=1&amp;SWEApplet0=TCC_Service_Request_ToggleSMSEmail_Detail_Applet&amp;SWERowId0=1-L42G1583" TargetMode="External"/><Relationship Id="rId1" Type="http://schemas.openxmlformats.org/officeDocument/2006/relationships/hyperlink" Target="https://tim-manuais.strategybigdata.com.br/monitoria_clientis/inicio.php?menu=idmoni&amp;idmoni=118507" TargetMode="External"/><Relationship Id="rId6" Type="http://schemas.openxmlformats.org/officeDocument/2006/relationships/table" Target="../tables/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0"/>
  <sheetViews>
    <sheetView showGridLines="0" tabSelected="1" zoomScale="70" zoomScaleNormal="70" workbookViewId="0">
      <pane ySplit="5" topLeftCell="A6" activePane="bottomLeft" state="frozen"/>
      <selection pane="bottomLeft" activeCell="G22" sqref="G22"/>
    </sheetView>
  </sheetViews>
  <sheetFormatPr defaultRowHeight="15" customHeight="1" x14ac:dyDescent="0.3"/>
  <cols>
    <col min="1" max="1" width="9.109375" style="34"/>
    <col min="2" max="2" width="18.88671875" style="12" customWidth="1"/>
    <col min="3" max="3" width="36.33203125" style="13" bestFit="1" customWidth="1"/>
    <col min="4" max="4" width="23.88671875" style="9" customWidth="1"/>
    <col min="5" max="5" width="28.5546875" style="9" customWidth="1"/>
    <col min="6" max="6" width="25.5546875" style="24" customWidth="1"/>
    <col min="7" max="7" width="15.44140625" style="24" bestFit="1" customWidth="1"/>
    <col min="8" max="8" width="117" style="2" bestFit="1" customWidth="1"/>
    <col min="9" max="9" width="14.33203125" style="17" bestFit="1" customWidth="1"/>
    <col min="10" max="15" width="13" style="17" hidden="1" customWidth="1"/>
    <col min="16" max="16" width="22.5546875" style="17" customWidth="1"/>
  </cols>
  <sheetData>
    <row r="1" spans="1:16" s="24" customFormat="1" ht="25.95" customHeight="1" x14ac:dyDescent="0.3">
      <c r="A1" s="33"/>
      <c r="B1" s="33"/>
      <c r="C1" s="15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6" s="24" customFormat="1" ht="42.6" customHeight="1" x14ac:dyDescent="0.3">
      <c r="A2" s="33"/>
      <c r="B2" s="33"/>
      <c r="C2" s="15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</row>
    <row r="3" spans="1:16" s="24" customFormat="1" ht="18" customHeight="1" x14ac:dyDescent="0.3">
      <c r="A3" s="33"/>
      <c r="B3" s="33"/>
      <c r="C3" s="15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</row>
    <row r="4" spans="1:16" s="24" customFormat="1" ht="20.25" customHeight="1" x14ac:dyDescent="0.35">
      <c r="A4" s="33"/>
      <c r="B4" s="33"/>
      <c r="C4" s="15"/>
      <c r="D4" s="16"/>
      <c r="E4" s="16"/>
      <c r="F4" s="16"/>
      <c r="G4" s="16"/>
      <c r="H4" s="17"/>
      <c r="I4" s="18" t="s">
        <v>0</v>
      </c>
      <c r="J4" s="16"/>
      <c r="K4" s="16"/>
      <c r="L4" s="16"/>
      <c r="M4" s="16"/>
      <c r="N4" s="16"/>
      <c r="O4" s="16"/>
      <c r="P4" s="16"/>
    </row>
    <row r="5" spans="1:16" ht="25.2" x14ac:dyDescent="0.5">
      <c r="B5" s="29" t="s">
        <v>1</v>
      </c>
      <c r="C5" s="4" t="s">
        <v>2</v>
      </c>
      <c r="D5" s="4" t="s">
        <v>3</v>
      </c>
      <c r="E5" s="3" t="s">
        <v>4</v>
      </c>
      <c r="F5" s="19" t="s">
        <v>5</v>
      </c>
      <c r="G5" s="20" t="s">
        <v>6</v>
      </c>
      <c r="H5" s="4" t="s">
        <v>7</v>
      </c>
      <c r="I5" s="21">
        <f ca="1">SUBTOTAL(101, F6:F210)</f>
        <v>7</v>
      </c>
      <c r="J5" s="22" t="s">
        <v>8</v>
      </c>
      <c r="K5" s="17" t="s">
        <v>9</v>
      </c>
      <c r="L5" s="17" t="s">
        <v>10</v>
      </c>
      <c r="M5" s="17" t="s">
        <v>11</v>
      </c>
      <c r="N5" s="17" t="s">
        <v>12</v>
      </c>
      <c r="O5" s="17" t="s">
        <v>13</v>
      </c>
    </row>
    <row r="6" spans="1:16" ht="14.4" x14ac:dyDescent="0.3">
      <c r="B6" s="5" t="s">
        <v>17</v>
      </c>
      <c r="C6" s="6" t="s">
        <v>18</v>
      </c>
      <c r="D6" s="7">
        <v>45940</v>
      </c>
      <c r="E6" s="7">
        <v>45950</v>
      </c>
      <c r="F6" s="1">
        <f ca="1">IF(AND($D6&lt;&gt;"", ISNUMBER($D6)), IF(AND($E6&lt;&gt;"", ISNUMBER($E6)), $E6-$D6, TODAY()-$D6), "")</f>
        <v>10</v>
      </c>
      <c r="G6" s="23" t="str">
        <f t="shared" ref="G6:G37" ca="1" si="0">IF(AND($D6&lt;&gt;"", ISNUMBER($D6)), IF(AND(IF(AND($E6&lt;&gt;"", ISNUMBER($E6)), $E6-$D6, TODAY()-$D6)&gt;=0, IF(AND($E6&lt;&gt;"", ISNUMBER($E6)), $E6-$D6, TODAY()-$D6)&lt;=5), "Dentro do prazo", IF(AND(IF(AND($E6&lt;&gt;"", ISNUMBER($E6)), $E6-$D6, TODAY()-$D6)&gt;=6, IF(AND($E6&lt;&gt;"", ISNUMBER($E6)), $E6-$D6, TODAY()-$D6)&lt;=8), "Atenção", IF(IF(AND($E6&lt;&gt;"", ISNUMBER($E6)), $E6-$D6, TODAY()-$D6)=9, "Vence hoje", IF(IF(AND($E6&lt;&gt;"", ISNUMBER($E6)), $E6-$D6, TODAY()-$D6)&gt;=10, "Vencido","")))), "")</f>
        <v>Vencido</v>
      </c>
      <c r="H6" s="8" t="s">
        <v>14</v>
      </c>
      <c r="J6" s="17">
        <f ca="1">SUBTOTAL(103, OFFSET($B$6, ROW()-6, 0))</f>
        <v>1</v>
      </c>
      <c r="K6" s="17" t="e">
        <f ca="1">IF(AND($D6&lt;&gt;"",#REF!&lt;&gt;"Fechado",$F6&gt;=0,$F6&lt;=5,$J6=1),1,0)</f>
        <v>#REF!</v>
      </c>
      <c r="L6" s="17" t="e">
        <f ca="1">IF(AND($D6&lt;&gt;"",#REF!&lt;&gt;"Fechado",$F6&gt;=6,$F6&lt;=8,$J6=1),1,0)</f>
        <v>#REF!</v>
      </c>
      <c r="M6" s="17" t="e">
        <f ca="1">IF(AND($D6&lt;&gt;"",#REF!&lt;&gt;"Fechado",$F6=9,$J6=1),1,0)</f>
        <v>#REF!</v>
      </c>
      <c r="N6" s="17" t="e">
        <f ca="1">IF(AND($D6&lt;&gt;"",#REF!&lt;&gt;"Fechado",$F6=10,$J6=1),1,0)</f>
        <v>#REF!</v>
      </c>
      <c r="O6" s="17" t="e">
        <f ca="1">IF(AND($D6&lt;&gt;"",#REF!&lt;&gt;"Fechado",$F6&gt;10,$J6=1),1,0)</f>
        <v>#REF!</v>
      </c>
    </row>
    <row r="7" spans="1:16" ht="14.4" x14ac:dyDescent="0.3">
      <c r="B7" s="5" t="s">
        <v>19</v>
      </c>
      <c r="C7" s="6" t="s">
        <v>20</v>
      </c>
      <c r="D7" s="7">
        <v>45948</v>
      </c>
      <c r="E7" s="7">
        <v>45948</v>
      </c>
      <c r="F7" s="1">
        <f t="shared" ref="F7:F70" ca="1" si="1">IF(AND($D7&lt;&gt;"", ISNUMBER($D7)), IF(AND($E7&lt;&gt;"", ISNUMBER($E7)), $E7-$D7, TODAY()-$D7), "")</f>
        <v>0</v>
      </c>
      <c r="G7" s="23" t="str">
        <f t="shared" ca="1" si="0"/>
        <v>Dentro do prazo</v>
      </c>
      <c r="H7" s="8" t="s">
        <v>15</v>
      </c>
      <c r="J7" s="17">
        <f ca="1">SUBTOTAL(103, OFFSET($B$6, ROW()-6, 0))</f>
        <v>1</v>
      </c>
      <c r="K7" s="17" t="e">
        <f ca="1">IF(AND($D7&lt;&gt;"",#REF!&lt;&gt;"Fechado",$F7&gt;=0,$F7&lt;=5,$J7=1),1,0)</f>
        <v>#REF!</v>
      </c>
      <c r="L7" s="17" t="e">
        <f ca="1">IF(AND($D7&lt;&gt;"",#REF!&lt;&gt;"Fechado",$F7&gt;=6,$F7&lt;=8,$J7=1),1,0)</f>
        <v>#REF!</v>
      </c>
      <c r="M7" s="17" t="e">
        <f ca="1">IF(AND($D7&lt;&gt;"",#REF!&lt;&gt;"Fechado",$F7=9,$J7=1),1,0)</f>
        <v>#REF!</v>
      </c>
      <c r="N7" s="17" t="e">
        <f ca="1">IF(AND($D7&lt;&gt;"",#REF!&lt;&gt;"Fechado",$F7=10,$J7=1),1,0)</f>
        <v>#REF!</v>
      </c>
      <c r="O7" s="17" t="e">
        <f ca="1">IF(AND($D7&lt;&gt;"",#REF!&lt;&gt;"Fechado",$F7&gt;10,$J7=1),1,0)</f>
        <v>#REF!</v>
      </c>
    </row>
    <row r="8" spans="1:16" ht="14.4" x14ac:dyDescent="0.3">
      <c r="B8" s="5" t="s">
        <v>21</v>
      </c>
      <c r="C8" s="6" t="s">
        <v>22</v>
      </c>
      <c r="D8" s="7">
        <v>45935</v>
      </c>
      <c r="E8" s="7">
        <v>45953</v>
      </c>
      <c r="F8" s="1">
        <f ca="1">IF(AND($D8&lt;&gt;"", ISNUMBER($D8)), IF(AND($E8&lt;&gt;"", ISNUMBER($E8)), $E8-$D8, TODAY()-$D8), "")</f>
        <v>18</v>
      </c>
      <c r="G8" s="23" t="str">
        <f t="shared" ca="1" si="0"/>
        <v>Vencido</v>
      </c>
      <c r="H8" s="8" t="s">
        <v>16</v>
      </c>
      <c r="J8" s="25">
        <f ca="1">SUBTOTAL(103, OFFSET($B$6, ROW()-6, 0))</f>
        <v>1</v>
      </c>
      <c r="K8" s="17" t="e">
        <f ca="1">IF(AND($D8&lt;&gt;"",#REF!&lt;&gt;"Fechado",$F8&gt;=0,$F8&lt;=5,$J8=1),1,0)</f>
        <v>#REF!</v>
      </c>
      <c r="L8" s="17" t="e">
        <f ca="1">IF(AND($D8&lt;&gt;"",#REF!&lt;&gt;"Fechado",$F8&gt;=6,$F8&lt;=8,$J8=1),1,0)</f>
        <v>#REF!</v>
      </c>
      <c r="M8" s="17" t="e">
        <f ca="1">IF(AND($D8&lt;&gt;"",#REF!&lt;&gt;"Fechado",$F8=9,$J8=1),1,0)</f>
        <v>#REF!</v>
      </c>
      <c r="N8" s="17" t="e">
        <f ca="1">IF(AND($D8&lt;&gt;"",#REF!&lt;&gt;"Fechado",$F8=10,$J8=1),1,0)</f>
        <v>#REF!</v>
      </c>
      <c r="O8" s="17" t="e">
        <f ca="1">IF(AND($D8&lt;&gt;"",#REF!&lt;&gt;"Fechado",$F8&gt;10,$J8=1),1,0)</f>
        <v>#REF!</v>
      </c>
    </row>
    <row r="9" spans="1:16" ht="14.4" x14ac:dyDescent="0.3">
      <c r="B9" s="5" t="s">
        <v>23</v>
      </c>
      <c r="C9" s="6" t="s">
        <v>24</v>
      </c>
      <c r="D9" s="7">
        <v>45942</v>
      </c>
      <c r="E9" s="7">
        <v>45953</v>
      </c>
      <c r="F9" s="1">
        <f ca="1">IF(AND($D9&lt;&gt;"", ISNUMBER($D9)), IF(AND($E9&lt;&gt;"", ISNUMBER($E9)), $E9-$D9, TODAY()-$D9), "")</f>
        <v>11</v>
      </c>
      <c r="G9" s="23" t="str">
        <f t="shared" ca="1" si="0"/>
        <v>Vencido</v>
      </c>
      <c r="H9" s="10" t="s">
        <v>31</v>
      </c>
    </row>
    <row r="10" spans="1:16" ht="14.4" x14ac:dyDescent="0.3">
      <c r="B10" s="5" t="s">
        <v>25</v>
      </c>
      <c r="C10" s="6" t="s">
        <v>26</v>
      </c>
      <c r="D10" s="7">
        <v>45949</v>
      </c>
      <c r="E10" s="7">
        <v>45953</v>
      </c>
      <c r="F10" s="1">
        <f t="shared" ca="1" si="1"/>
        <v>4</v>
      </c>
      <c r="G10" s="23" t="str">
        <f t="shared" ca="1" si="0"/>
        <v>Dentro do prazo</v>
      </c>
      <c r="H10" s="10"/>
      <c r="I10" s="26"/>
      <c r="J10" s="17">
        <f t="shared" ref="J10:J73" ca="1" si="2">SUBTOTAL(103, OFFSET($B$6, ROW()-6, 0))</f>
        <v>1</v>
      </c>
      <c r="K10" s="17" t="e">
        <f ca="1">IF(AND($D10&lt;&gt;"",#REF!&lt;&gt;"Fechado",$F10&gt;=0,$F10&lt;=5,$J10=1),1,0)</f>
        <v>#REF!</v>
      </c>
      <c r="L10" s="17" t="e">
        <f ca="1">IF(AND($D10&lt;&gt;"",#REF!&lt;&gt;"Fechado",$F10&gt;=6,$F10&lt;=8,$J10=1),1,0)</f>
        <v>#REF!</v>
      </c>
      <c r="M10" s="17" t="e">
        <f ca="1">IF(AND($D10&lt;&gt;"",#REF!&lt;&gt;"Fechado",$F10=9,$J10=1),1,0)</f>
        <v>#REF!</v>
      </c>
      <c r="N10" s="17" t="e">
        <f ca="1">IF(AND($D10&lt;&gt;"",#REF!&lt;&gt;"Fechado",$F10=10,$J10=1),1,0)</f>
        <v>#REF!</v>
      </c>
      <c r="O10" s="17" t="e">
        <f ca="1">IF(AND($D10&lt;&gt;"",#REF!&lt;&gt;"Fechado",$F10&gt;10,$J10=1),1,0)</f>
        <v>#REF!</v>
      </c>
    </row>
    <row r="11" spans="1:16" ht="14.4" x14ac:dyDescent="0.3">
      <c r="B11" s="5" t="s">
        <v>27</v>
      </c>
      <c r="C11" s="6" t="s">
        <v>28</v>
      </c>
      <c r="D11" s="7">
        <v>45949</v>
      </c>
      <c r="E11" s="7">
        <v>45953</v>
      </c>
      <c r="F11" s="1">
        <f ca="1">IF(AND($D11&lt;&gt;"", ISNUMBER($D11)), IF(AND($E11&lt;&gt;"", ISNUMBER($E11)), $E11-$D11, TODAY()-$D11), "")</f>
        <v>4</v>
      </c>
      <c r="G11" s="23" t="str">
        <f t="shared" ca="1" si="0"/>
        <v>Dentro do prazo</v>
      </c>
      <c r="H11" s="10"/>
      <c r="J11" s="17">
        <f t="shared" ca="1" si="2"/>
        <v>1</v>
      </c>
      <c r="K11" s="17" t="e">
        <f ca="1">IF(AND($D11&lt;&gt;"",#REF!&lt;&gt;"Fechado",$F11&gt;=0,$F11&lt;=5,$J11=1),1,0)</f>
        <v>#REF!</v>
      </c>
      <c r="L11" s="17" t="e">
        <f ca="1">IF(AND($D11&lt;&gt;"",#REF!&lt;&gt;"Fechado",$F11&gt;=6,$F11&lt;=8,$J11=1),1,0)</f>
        <v>#REF!</v>
      </c>
      <c r="M11" s="17" t="e">
        <f ca="1">IF(AND($D11&lt;&gt;"",#REF!&lt;&gt;"Fechado",$F11=9,$J11=1),1,0)</f>
        <v>#REF!</v>
      </c>
      <c r="N11" s="17" t="e">
        <f ca="1">IF(AND($D11&lt;&gt;"",#REF!&lt;&gt;"Fechado",$F11=10,$J11=1),1,0)</f>
        <v>#REF!</v>
      </c>
      <c r="O11" s="17" t="e">
        <f ca="1">IF(AND($D11&lt;&gt;"",#REF!&lt;&gt;"Fechado",$F11&gt;10,$J11=1),1,0)</f>
        <v>#REF!</v>
      </c>
    </row>
    <row r="12" spans="1:16" ht="14.4" x14ac:dyDescent="0.3">
      <c r="B12" s="5" t="s">
        <v>29</v>
      </c>
      <c r="C12" s="6" t="s">
        <v>30</v>
      </c>
      <c r="D12" s="7">
        <v>45951</v>
      </c>
      <c r="E12" s="7">
        <v>45953</v>
      </c>
      <c r="F12" s="1">
        <f t="shared" ca="1" si="1"/>
        <v>2</v>
      </c>
      <c r="G12" s="27" t="str">
        <f t="shared" ca="1" si="0"/>
        <v>Dentro do prazo</v>
      </c>
      <c r="H12" s="11"/>
      <c r="I12" s="26"/>
      <c r="J12" s="17">
        <f t="shared" ca="1" si="2"/>
        <v>1</v>
      </c>
      <c r="K12" s="17" t="e">
        <f ca="1">IF(AND($D12&lt;&gt;"",#REF!&lt;&gt;"Fechado",$F12&gt;=0,$F12&lt;=5,$J12=1),1,0)</f>
        <v>#REF!</v>
      </c>
      <c r="L12" s="17" t="e">
        <f ca="1">IF(AND($D12&lt;&gt;"",#REF!&lt;&gt;"Fechado",$F12&gt;=6,$F12&lt;=8,$J12=1),1,0)</f>
        <v>#REF!</v>
      </c>
      <c r="M12" s="17" t="e">
        <f ca="1">IF(AND($D12&lt;&gt;"",#REF!&lt;&gt;"Fechado",$F12=9,$J12=1),1,0)</f>
        <v>#REF!</v>
      </c>
      <c r="N12" s="17" t="e">
        <f ca="1">IF(AND($D12&lt;&gt;"",#REF!&lt;&gt;"Fechado",$F12=10,$J12=1),1,0)</f>
        <v>#REF!</v>
      </c>
      <c r="O12" s="17" t="e">
        <f ca="1">IF(AND($D12&lt;&gt;"",#REF!&lt;&gt;"Fechado",$F12&gt;10,$J12=1),1,0)</f>
        <v>#REF!</v>
      </c>
    </row>
    <row r="13" spans="1:16" ht="14.4" x14ac:dyDescent="0.3">
      <c r="B13" s="5"/>
      <c r="C13" s="6"/>
      <c r="D13" s="7"/>
      <c r="E13" s="7"/>
      <c r="F13" s="1" t="str">
        <f t="shared" ca="1" si="1"/>
        <v/>
      </c>
      <c r="G13" s="27" t="str">
        <f t="shared" ca="1" si="0"/>
        <v/>
      </c>
      <c r="H13" s="10"/>
      <c r="I13" s="26"/>
      <c r="J13" s="17">
        <f t="shared" ca="1" si="2"/>
        <v>0</v>
      </c>
      <c r="K13" s="17" t="e">
        <f ca="1">IF(AND($D13&lt;&gt;"",#REF!&lt;&gt;"Fechado",$F13&gt;=0,$F13&lt;=5,$J13=1),1,0)</f>
        <v>#REF!</v>
      </c>
      <c r="L13" s="17" t="e">
        <f ca="1">IF(AND($D13&lt;&gt;"",#REF!&lt;&gt;"Fechado",$F13&gt;=6,$F13&lt;=8,$J13=1),1,0)</f>
        <v>#REF!</v>
      </c>
      <c r="M13" s="17" t="e">
        <f ca="1">IF(AND($D13&lt;&gt;"",#REF!&lt;&gt;"Fechado",$F13=9,$J13=1),1,0)</f>
        <v>#REF!</v>
      </c>
      <c r="N13" s="17" t="e">
        <f ca="1">IF(AND($D13&lt;&gt;"",#REF!&lt;&gt;"Fechado",$F13=10,$J13=1),1,0)</f>
        <v>#REF!</v>
      </c>
      <c r="O13" s="17" t="e">
        <f ca="1">IF(AND($D13&lt;&gt;"",#REF!&lt;&gt;"Fechado",$F13&gt;10,$J13=1),1,0)</f>
        <v>#REF!</v>
      </c>
    </row>
    <row r="14" spans="1:16" ht="14.4" x14ac:dyDescent="0.3">
      <c r="B14" s="5"/>
      <c r="C14" s="6"/>
      <c r="D14" s="7"/>
      <c r="E14" s="7"/>
      <c r="F14" s="1" t="str">
        <f t="shared" ca="1" si="1"/>
        <v/>
      </c>
      <c r="G14" s="27" t="str">
        <f t="shared" ca="1" si="0"/>
        <v/>
      </c>
      <c r="H14" s="10"/>
      <c r="J14" s="17">
        <f t="shared" ca="1" si="2"/>
        <v>0</v>
      </c>
      <c r="K14" s="17" t="e">
        <f ca="1">IF(AND($D14&lt;&gt;"",#REF!&lt;&gt;"Fechado",$F14&gt;=0,$F14&lt;=5,$J14=1),1,0)</f>
        <v>#REF!</v>
      </c>
      <c r="L14" s="17" t="e">
        <f ca="1">IF(AND($D14&lt;&gt;"",#REF!&lt;&gt;"Fechado",$F14&gt;=6,$F14&lt;=8,$J14=1),1,0)</f>
        <v>#REF!</v>
      </c>
      <c r="M14" s="17" t="e">
        <f ca="1">IF(AND($D14&lt;&gt;"",#REF!&lt;&gt;"Fechado",$F14=9,$J14=1),1,0)</f>
        <v>#REF!</v>
      </c>
      <c r="N14" s="17" t="e">
        <f ca="1">IF(AND($D14&lt;&gt;"",#REF!&lt;&gt;"Fechado",$F14=10,$J14=1),1,0)</f>
        <v>#REF!</v>
      </c>
      <c r="O14" s="17" t="e">
        <f ca="1">IF(AND($D14&lt;&gt;"",#REF!&lt;&gt;"Fechado",$F14&gt;10,$J14=1),1,0)</f>
        <v>#REF!</v>
      </c>
    </row>
    <row r="15" spans="1:16" ht="14.4" x14ac:dyDescent="0.3">
      <c r="B15" s="5"/>
      <c r="C15" s="6"/>
      <c r="D15" s="7"/>
      <c r="E15" s="7"/>
      <c r="F15" s="1" t="str">
        <f t="shared" ca="1" si="1"/>
        <v/>
      </c>
      <c r="G15" s="27" t="str">
        <f t="shared" ca="1" si="0"/>
        <v/>
      </c>
      <c r="H15" s="10"/>
      <c r="I15" s="25"/>
      <c r="J15" s="17">
        <f t="shared" ca="1" si="2"/>
        <v>0</v>
      </c>
      <c r="K15" s="17" t="e">
        <f ca="1">IF(AND($D15&lt;&gt;"",#REF!&lt;&gt;"Fechado",$F15&gt;=0,$F15&lt;=5,$J15=1),1,0)</f>
        <v>#REF!</v>
      </c>
      <c r="L15" s="17" t="e">
        <f ca="1">IF(AND($D15&lt;&gt;"",#REF!&lt;&gt;"Fechado",$F15&gt;=6,$F15&lt;=8,$J15=1),1,0)</f>
        <v>#REF!</v>
      </c>
      <c r="M15" s="17" t="e">
        <f ca="1">IF(AND($D15&lt;&gt;"",#REF!&lt;&gt;"Fechado",$F15=9,$J15=1),1,0)</f>
        <v>#REF!</v>
      </c>
      <c r="N15" s="17" t="e">
        <f ca="1">IF(AND($D15&lt;&gt;"",#REF!&lt;&gt;"Fechado",$F15=10,$J15=1),1,0)</f>
        <v>#REF!</v>
      </c>
      <c r="O15" s="17" t="e">
        <f ca="1">IF(AND($D15&lt;&gt;"",#REF!&lt;&gt;"Fechado",$F15&gt;10,$J15=1),1,0)</f>
        <v>#REF!</v>
      </c>
    </row>
    <row r="16" spans="1:16" ht="14.4" x14ac:dyDescent="0.3">
      <c r="B16" s="5"/>
      <c r="C16" s="6"/>
      <c r="D16" s="7"/>
      <c r="E16" s="7"/>
      <c r="F16" s="1" t="str">
        <f t="shared" ca="1" si="1"/>
        <v/>
      </c>
      <c r="G16" s="27" t="str">
        <f t="shared" ca="1" si="0"/>
        <v/>
      </c>
      <c r="H16" s="10"/>
      <c r="I16" s="25"/>
      <c r="J16" s="17">
        <f t="shared" ca="1" si="2"/>
        <v>0</v>
      </c>
      <c r="K16" s="17" t="e">
        <f ca="1">IF(AND($D16&lt;&gt;"",#REF!&lt;&gt;"Fechado",$F16&gt;=0,$F16&lt;=5,$J16=1),1,0)</f>
        <v>#REF!</v>
      </c>
      <c r="L16" s="17" t="e">
        <f ca="1">IF(AND($D16&lt;&gt;"",#REF!&lt;&gt;"Fechado",$F16&gt;=6,$F16&lt;=8,$J16=1),1,0)</f>
        <v>#REF!</v>
      </c>
      <c r="M16" s="17" t="e">
        <f ca="1">IF(AND($D16&lt;&gt;"",#REF!&lt;&gt;"Fechado",$F16=9,$J16=1),1,0)</f>
        <v>#REF!</v>
      </c>
      <c r="N16" s="17" t="e">
        <f ca="1">IF(AND($D16&lt;&gt;"",#REF!&lt;&gt;"Fechado",$F16=10,$J16=1),1,0)</f>
        <v>#REF!</v>
      </c>
      <c r="O16" s="17" t="e">
        <f ca="1">IF(AND($D16&lt;&gt;"",#REF!&lt;&gt;"Fechado",$F16&gt;10,$J16=1),1,0)</f>
        <v>#REF!</v>
      </c>
    </row>
    <row r="17" spans="2:15" ht="14.4" x14ac:dyDescent="0.3">
      <c r="B17" s="5"/>
      <c r="C17" s="6"/>
      <c r="D17" s="7"/>
      <c r="E17" s="7"/>
      <c r="F17" s="1" t="str">
        <f t="shared" ca="1" si="1"/>
        <v/>
      </c>
      <c r="G17" s="27" t="str">
        <f t="shared" ca="1" si="0"/>
        <v/>
      </c>
      <c r="H17" s="10"/>
      <c r="J17" s="17">
        <f t="shared" ca="1" si="2"/>
        <v>0</v>
      </c>
      <c r="K17" s="17" t="e">
        <f ca="1">IF(AND($D17&lt;&gt;"",#REF!&lt;&gt;"Fechado",$F17&gt;=0,$F17&lt;=5,$J17=1),1,0)</f>
        <v>#REF!</v>
      </c>
      <c r="L17" s="17" t="e">
        <f ca="1">IF(AND($D17&lt;&gt;"",#REF!&lt;&gt;"Fechado",$F17&gt;=6,$F17&lt;=8,$J17=1),1,0)</f>
        <v>#REF!</v>
      </c>
      <c r="M17" s="17" t="e">
        <f ca="1">IF(AND($D17&lt;&gt;"",#REF!&lt;&gt;"Fechado",$F17=9,$J17=1),1,0)</f>
        <v>#REF!</v>
      </c>
      <c r="N17" s="17" t="e">
        <f ca="1">IF(AND($D17&lt;&gt;"",#REF!&lt;&gt;"Fechado",$F17=10,$J17=1),1,0)</f>
        <v>#REF!</v>
      </c>
      <c r="O17" s="17" t="e">
        <f ca="1">IF(AND($D17&lt;&gt;"",#REF!&lt;&gt;"Fechado",$F17&gt;10,$J17=1),1,0)</f>
        <v>#REF!</v>
      </c>
    </row>
    <row r="18" spans="2:15" ht="14.4" x14ac:dyDescent="0.3">
      <c r="B18" s="5"/>
      <c r="C18" s="6"/>
      <c r="D18" s="7"/>
      <c r="E18" s="7"/>
      <c r="F18" s="1" t="str">
        <f t="shared" ca="1" si="1"/>
        <v/>
      </c>
      <c r="G18" s="27" t="str">
        <f t="shared" ca="1" si="0"/>
        <v/>
      </c>
      <c r="H18" s="10"/>
      <c r="J18" s="17">
        <f t="shared" ca="1" si="2"/>
        <v>0</v>
      </c>
      <c r="K18" s="17" t="e">
        <f ca="1">IF(AND($D18&lt;&gt;"",#REF!&lt;&gt;"Fechado",$F18&gt;=0,$F18&lt;=5,$J18=1),1,0)</f>
        <v>#REF!</v>
      </c>
      <c r="L18" s="17" t="e">
        <f ca="1">IF(AND($D18&lt;&gt;"",#REF!&lt;&gt;"Fechado",$F18&gt;=6,$F18&lt;=8,$J18=1),1,0)</f>
        <v>#REF!</v>
      </c>
      <c r="M18" s="17" t="e">
        <f ca="1">IF(AND($D18&lt;&gt;"",#REF!&lt;&gt;"Fechado",$F18=9,$J18=1),1,0)</f>
        <v>#REF!</v>
      </c>
      <c r="N18" s="17" t="e">
        <f ca="1">IF(AND($D18&lt;&gt;"",#REF!&lt;&gt;"Fechado",$F18=10,$J18=1),1,0)</f>
        <v>#REF!</v>
      </c>
      <c r="O18" s="17" t="e">
        <f ca="1">IF(AND($D18&lt;&gt;"",#REF!&lt;&gt;"Fechado",$F18&gt;10,$J18=1),1,0)</f>
        <v>#REF!</v>
      </c>
    </row>
    <row r="19" spans="2:15" ht="14.4" x14ac:dyDescent="0.3">
      <c r="B19" s="5"/>
      <c r="C19" s="6"/>
      <c r="D19" s="7"/>
      <c r="E19" s="7"/>
      <c r="F19" s="1" t="str">
        <f t="shared" ca="1" si="1"/>
        <v/>
      </c>
      <c r="G19" s="27" t="str">
        <f t="shared" ca="1" si="0"/>
        <v/>
      </c>
      <c r="H19" s="10"/>
      <c r="J19" s="17">
        <f t="shared" ca="1" si="2"/>
        <v>0</v>
      </c>
      <c r="K19" s="17" t="e">
        <f ca="1">IF(AND($D19&lt;&gt;"",#REF!&lt;&gt;"Fechado",$F19&gt;=0,$F19&lt;=5,$J19=1),1,0)</f>
        <v>#REF!</v>
      </c>
      <c r="L19" s="17" t="e">
        <f ca="1">IF(AND($D19&lt;&gt;"",#REF!&lt;&gt;"Fechado",$F19&gt;=6,$F19&lt;=8,$J19=1),1,0)</f>
        <v>#REF!</v>
      </c>
      <c r="M19" s="17" t="e">
        <f ca="1">IF(AND($D19&lt;&gt;"",#REF!&lt;&gt;"Fechado",$F19=9,$J19=1),1,0)</f>
        <v>#REF!</v>
      </c>
      <c r="N19" s="17" t="e">
        <f ca="1">IF(AND($D19&lt;&gt;"",#REF!&lt;&gt;"Fechado",$F19=10,$J19=1),1,0)</f>
        <v>#REF!</v>
      </c>
      <c r="O19" s="17" t="e">
        <f ca="1">IF(AND($D19&lt;&gt;"",#REF!&lt;&gt;"Fechado",$F19&gt;10,$J19=1),1,0)</f>
        <v>#REF!</v>
      </c>
    </row>
    <row r="20" spans="2:15" ht="14.4" x14ac:dyDescent="0.3">
      <c r="B20" s="5"/>
      <c r="C20" s="6"/>
      <c r="D20" s="7"/>
      <c r="E20" s="7"/>
      <c r="F20" s="1" t="str">
        <f t="shared" ca="1" si="1"/>
        <v/>
      </c>
      <c r="G20" s="27" t="str">
        <f t="shared" ca="1" si="0"/>
        <v/>
      </c>
      <c r="H20" s="10"/>
      <c r="J20" s="17">
        <f t="shared" ca="1" si="2"/>
        <v>0</v>
      </c>
      <c r="K20" s="17" t="e">
        <f ca="1">IF(AND($D20&lt;&gt;"",#REF!&lt;&gt;"Fechado",$F20&gt;=0,$F20&lt;=5,$J20=1),1,0)</f>
        <v>#REF!</v>
      </c>
      <c r="L20" s="17" t="e">
        <f ca="1">IF(AND($D20&lt;&gt;"",#REF!&lt;&gt;"Fechado",$F20&gt;=6,$F20&lt;=8,$J20=1),1,0)</f>
        <v>#REF!</v>
      </c>
      <c r="M20" s="17" t="e">
        <f ca="1">IF(AND($D20&lt;&gt;"",#REF!&lt;&gt;"Fechado",$F20=9,$J20=1),1,0)</f>
        <v>#REF!</v>
      </c>
      <c r="N20" s="17" t="e">
        <f ca="1">IF(AND($D20&lt;&gt;"",#REF!&lt;&gt;"Fechado",$F20=10,$J20=1),1,0)</f>
        <v>#REF!</v>
      </c>
      <c r="O20" s="17" t="e">
        <f ca="1">IF(AND($D20&lt;&gt;"",#REF!&lt;&gt;"Fechado",$F20&gt;10,$J20=1),1,0)</f>
        <v>#REF!</v>
      </c>
    </row>
    <row r="21" spans="2:15" ht="14.4" x14ac:dyDescent="0.3">
      <c r="B21" s="5"/>
      <c r="C21" s="6"/>
      <c r="D21" s="7"/>
      <c r="E21" s="7"/>
      <c r="F21" s="1" t="str">
        <f t="shared" ca="1" si="1"/>
        <v/>
      </c>
      <c r="G21" s="27" t="str">
        <f t="shared" ca="1" si="0"/>
        <v/>
      </c>
      <c r="H21" s="10"/>
      <c r="J21" s="17">
        <f t="shared" ca="1" si="2"/>
        <v>0</v>
      </c>
      <c r="K21" s="17" t="e">
        <f ca="1">IF(AND($D21&lt;&gt;"",#REF!&lt;&gt;"Fechado",$F21&gt;=0,$F21&lt;=5,$J21=1),1,0)</f>
        <v>#REF!</v>
      </c>
      <c r="L21" s="17" t="e">
        <f ca="1">IF(AND($D21&lt;&gt;"",#REF!&lt;&gt;"Fechado",$F21&gt;=6,$F21&lt;=8,$J21=1),1,0)</f>
        <v>#REF!</v>
      </c>
      <c r="M21" s="17" t="e">
        <f ca="1">IF(AND($D21&lt;&gt;"",#REF!&lt;&gt;"Fechado",$F21=9,$J21=1),1,0)</f>
        <v>#REF!</v>
      </c>
      <c r="N21" s="17" t="e">
        <f ca="1">IF(AND($D21&lt;&gt;"",#REF!&lt;&gt;"Fechado",$F21=10,$J21=1),1,0)</f>
        <v>#REF!</v>
      </c>
      <c r="O21" s="17" t="e">
        <f ca="1">IF(AND($D21&lt;&gt;"",#REF!&lt;&gt;"Fechado",$F21&gt;10,$J21=1),1,0)</f>
        <v>#REF!</v>
      </c>
    </row>
    <row r="22" spans="2:15" ht="14.4" x14ac:dyDescent="0.3">
      <c r="B22" s="5"/>
      <c r="C22" s="6"/>
      <c r="D22" s="7"/>
      <c r="E22" s="7"/>
      <c r="F22" s="1" t="str">
        <f t="shared" ca="1" si="1"/>
        <v/>
      </c>
      <c r="G22" s="27" t="str">
        <f t="shared" ca="1" si="0"/>
        <v/>
      </c>
      <c r="H22" s="10"/>
      <c r="J22" s="17">
        <f t="shared" ca="1" si="2"/>
        <v>0</v>
      </c>
      <c r="K22" s="17" t="e">
        <f ca="1">IF(AND($D22&lt;&gt;"",#REF!&lt;&gt;"Fechado",$F22&gt;=0,$F22&lt;=5,$J22=1),1,0)</f>
        <v>#REF!</v>
      </c>
      <c r="L22" s="17" t="e">
        <f ca="1">IF(AND($D22&lt;&gt;"",#REF!&lt;&gt;"Fechado",$F22&gt;=6,$F22&lt;=8,$J22=1),1,0)</f>
        <v>#REF!</v>
      </c>
      <c r="M22" s="17" t="e">
        <f ca="1">IF(AND($D22&lt;&gt;"",#REF!&lt;&gt;"Fechado",$F22=9,$J22=1),1,0)</f>
        <v>#REF!</v>
      </c>
      <c r="N22" s="17" t="e">
        <f ca="1">IF(AND($D22&lt;&gt;"",#REF!&lt;&gt;"Fechado",$F22=10,$J22=1),1,0)</f>
        <v>#REF!</v>
      </c>
      <c r="O22" s="17" t="e">
        <f ca="1">IF(AND($D22&lt;&gt;"",#REF!&lt;&gt;"Fechado",$F22&gt;10,$J22=1),1,0)</f>
        <v>#REF!</v>
      </c>
    </row>
    <row r="23" spans="2:15" ht="14.4" x14ac:dyDescent="0.3">
      <c r="B23" s="5"/>
      <c r="C23" s="6"/>
      <c r="D23" s="7"/>
      <c r="E23" s="7"/>
      <c r="F23" s="1" t="str">
        <f t="shared" ca="1" si="1"/>
        <v/>
      </c>
      <c r="G23" s="27" t="str">
        <f t="shared" ca="1" si="0"/>
        <v/>
      </c>
      <c r="H23" s="10"/>
      <c r="J23" s="17">
        <f t="shared" ca="1" si="2"/>
        <v>0</v>
      </c>
      <c r="K23" s="17" t="e">
        <f ca="1">IF(AND($D23&lt;&gt;"",#REF!&lt;&gt;"Fechado",$F23&gt;=0,$F23&lt;=5,$J23=1),1,0)</f>
        <v>#REF!</v>
      </c>
      <c r="L23" s="17" t="e">
        <f ca="1">IF(AND($D23&lt;&gt;"",#REF!&lt;&gt;"Fechado",$F23&gt;=6,$F23&lt;=8,$J23=1),1,0)</f>
        <v>#REF!</v>
      </c>
      <c r="M23" s="17" t="e">
        <f ca="1">IF(AND($D23&lt;&gt;"",#REF!&lt;&gt;"Fechado",$F23=9,$J23=1),1,0)</f>
        <v>#REF!</v>
      </c>
      <c r="N23" s="17" t="e">
        <f ca="1">IF(AND($D23&lt;&gt;"",#REF!&lt;&gt;"Fechado",$F23=10,$J23=1),1,0)</f>
        <v>#REF!</v>
      </c>
      <c r="O23" s="17" t="e">
        <f ca="1">IF(AND($D23&lt;&gt;"",#REF!&lt;&gt;"Fechado",$F23&gt;10,$J23=1),1,0)</f>
        <v>#REF!</v>
      </c>
    </row>
    <row r="24" spans="2:15" ht="14.4" x14ac:dyDescent="0.3">
      <c r="B24" s="5"/>
      <c r="C24" s="6"/>
      <c r="D24" s="7"/>
      <c r="E24" s="7"/>
      <c r="F24" s="1" t="str">
        <f t="shared" ca="1" si="1"/>
        <v/>
      </c>
      <c r="G24" s="27" t="str">
        <f t="shared" ca="1" si="0"/>
        <v/>
      </c>
      <c r="H24" s="10"/>
      <c r="J24" s="17">
        <f t="shared" ca="1" si="2"/>
        <v>0</v>
      </c>
      <c r="K24" s="17" t="e">
        <f ca="1">IF(AND($D24&lt;&gt;"",#REF!&lt;&gt;"Fechado",$F24&gt;=0,$F24&lt;=5,$J24=1),1,0)</f>
        <v>#REF!</v>
      </c>
      <c r="L24" s="17" t="e">
        <f ca="1">IF(AND($D24&lt;&gt;"",#REF!&lt;&gt;"Fechado",$F24&gt;=6,$F24&lt;=8,$J24=1),1,0)</f>
        <v>#REF!</v>
      </c>
      <c r="M24" s="17" t="e">
        <f ca="1">IF(AND($D24&lt;&gt;"",#REF!&lt;&gt;"Fechado",$F24=9,$J24=1),1,0)</f>
        <v>#REF!</v>
      </c>
      <c r="N24" s="17" t="e">
        <f ca="1">IF(AND($D24&lt;&gt;"",#REF!&lt;&gt;"Fechado",$F24=10,$J24=1),1,0)</f>
        <v>#REF!</v>
      </c>
      <c r="O24" s="17" t="e">
        <f ca="1">IF(AND($D24&lt;&gt;"",#REF!&lt;&gt;"Fechado",$F24&gt;10,$J24=1),1,0)</f>
        <v>#REF!</v>
      </c>
    </row>
    <row r="25" spans="2:15" ht="14.4" x14ac:dyDescent="0.3">
      <c r="B25" s="5"/>
      <c r="C25" s="6"/>
      <c r="D25" s="7"/>
      <c r="E25" s="7"/>
      <c r="F25" s="1" t="str">
        <f t="shared" ca="1" si="1"/>
        <v/>
      </c>
      <c r="G25" s="27" t="str">
        <f t="shared" ca="1" si="0"/>
        <v/>
      </c>
      <c r="H25" s="10"/>
      <c r="J25" s="17">
        <f t="shared" ca="1" si="2"/>
        <v>0</v>
      </c>
      <c r="K25" s="17" t="e">
        <f ca="1">IF(AND($D25&lt;&gt;"",#REF!&lt;&gt;"Fechado",$F25&gt;=0,$F25&lt;=5,$J25=1),1,0)</f>
        <v>#REF!</v>
      </c>
      <c r="L25" s="17" t="e">
        <f ca="1">IF(AND($D25&lt;&gt;"",#REF!&lt;&gt;"Fechado",$F25&gt;=6,$F25&lt;=8,$J25=1),1,0)</f>
        <v>#REF!</v>
      </c>
      <c r="M25" s="17" t="e">
        <f ca="1">IF(AND($D25&lt;&gt;"",#REF!&lt;&gt;"Fechado",$F25=9,$J25=1),1,0)</f>
        <v>#REF!</v>
      </c>
      <c r="N25" s="17" t="e">
        <f ca="1">IF(AND($D25&lt;&gt;"",#REF!&lt;&gt;"Fechado",$F25=10,$J25=1),1,0)</f>
        <v>#REF!</v>
      </c>
      <c r="O25" s="17" t="e">
        <f ca="1">IF(AND($D25&lt;&gt;"",#REF!&lt;&gt;"Fechado",$F25&gt;10,$J25=1),1,0)</f>
        <v>#REF!</v>
      </c>
    </row>
    <row r="26" spans="2:15" ht="14.4" x14ac:dyDescent="0.3">
      <c r="B26" s="5"/>
      <c r="C26" s="6"/>
      <c r="D26" s="7"/>
      <c r="E26" s="7"/>
      <c r="F26" s="1" t="str">
        <f t="shared" ca="1" si="1"/>
        <v/>
      </c>
      <c r="G26" s="27" t="str">
        <f t="shared" ca="1" si="0"/>
        <v/>
      </c>
      <c r="H26" s="10"/>
      <c r="J26" s="17">
        <f t="shared" ca="1" si="2"/>
        <v>0</v>
      </c>
      <c r="K26" s="17" t="e">
        <f ca="1">IF(AND($D26&lt;&gt;"",#REF!&lt;&gt;"Fechado",$F26&gt;=0,$F26&lt;=5,$J26=1),1,0)</f>
        <v>#REF!</v>
      </c>
      <c r="L26" s="17" t="e">
        <f ca="1">IF(AND($D26&lt;&gt;"",#REF!&lt;&gt;"Fechado",$F26&gt;=6,$F26&lt;=8,$J26=1),1,0)</f>
        <v>#REF!</v>
      </c>
      <c r="M26" s="17" t="e">
        <f ca="1">IF(AND($D26&lt;&gt;"",#REF!&lt;&gt;"Fechado",$F26=9,$J26=1),1,0)</f>
        <v>#REF!</v>
      </c>
      <c r="N26" s="17" t="e">
        <f ca="1">IF(AND($D26&lt;&gt;"",#REF!&lt;&gt;"Fechado",$F26=10,$J26=1),1,0)</f>
        <v>#REF!</v>
      </c>
      <c r="O26" s="17" t="e">
        <f ca="1">IF(AND($D26&lt;&gt;"",#REF!&lt;&gt;"Fechado",$F26&gt;10,$J26=1),1,0)</f>
        <v>#REF!</v>
      </c>
    </row>
    <row r="27" spans="2:15" ht="14.4" x14ac:dyDescent="0.3">
      <c r="B27" s="5"/>
      <c r="C27" s="6"/>
      <c r="D27" s="7"/>
      <c r="E27" s="7"/>
      <c r="F27" s="1" t="str">
        <f t="shared" ca="1" si="1"/>
        <v/>
      </c>
      <c r="G27" s="27" t="str">
        <f t="shared" ca="1" si="0"/>
        <v/>
      </c>
      <c r="H27" s="10"/>
      <c r="J27" s="17">
        <f t="shared" ca="1" si="2"/>
        <v>0</v>
      </c>
      <c r="K27" s="17" t="e">
        <f ca="1">IF(AND($D27&lt;&gt;"",#REF!&lt;&gt;"Fechado",$F27&gt;=0,$F27&lt;=5,$J27=1),1,0)</f>
        <v>#REF!</v>
      </c>
      <c r="L27" s="17" t="e">
        <f ca="1">IF(AND($D27&lt;&gt;"",#REF!&lt;&gt;"Fechado",$F27&gt;=6,$F27&lt;=8,$J27=1),1,0)</f>
        <v>#REF!</v>
      </c>
      <c r="M27" s="17" t="e">
        <f ca="1">IF(AND($D27&lt;&gt;"",#REF!&lt;&gt;"Fechado",$F27=9,$J27=1),1,0)</f>
        <v>#REF!</v>
      </c>
      <c r="N27" s="17" t="e">
        <f ca="1">IF(AND($D27&lt;&gt;"",#REF!&lt;&gt;"Fechado",$F27=10,$J27=1),1,0)</f>
        <v>#REF!</v>
      </c>
      <c r="O27" s="17" t="e">
        <f ca="1">IF(AND($D27&lt;&gt;"",#REF!&lt;&gt;"Fechado",$F27&gt;10,$J27=1),1,0)</f>
        <v>#REF!</v>
      </c>
    </row>
    <row r="28" spans="2:15" ht="14.4" x14ac:dyDescent="0.3">
      <c r="B28" s="5"/>
      <c r="C28" s="6"/>
      <c r="D28" s="7"/>
      <c r="E28" s="7"/>
      <c r="F28" s="1" t="str">
        <f t="shared" ca="1" si="1"/>
        <v/>
      </c>
      <c r="G28" s="27" t="str">
        <f t="shared" ca="1" si="0"/>
        <v/>
      </c>
      <c r="H28" s="10"/>
      <c r="J28" s="17">
        <f t="shared" ca="1" si="2"/>
        <v>0</v>
      </c>
      <c r="K28" s="17" t="e">
        <f ca="1">IF(AND($D28&lt;&gt;"",#REF!&lt;&gt;"Fechado",$F28&gt;=0,$F28&lt;=5,$J28=1),1,0)</f>
        <v>#REF!</v>
      </c>
      <c r="L28" s="17" t="e">
        <f ca="1">IF(AND($D28&lt;&gt;"",#REF!&lt;&gt;"Fechado",$F28&gt;=6,$F28&lt;=8,$J28=1),1,0)</f>
        <v>#REF!</v>
      </c>
      <c r="M28" s="17" t="e">
        <f ca="1">IF(AND($D28&lt;&gt;"",#REF!&lt;&gt;"Fechado",$F28=9,$J28=1),1,0)</f>
        <v>#REF!</v>
      </c>
      <c r="N28" s="17" t="e">
        <f ca="1">IF(AND($D28&lt;&gt;"",#REF!&lt;&gt;"Fechado",$F28=10,$J28=1),1,0)</f>
        <v>#REF!</v>
      </c>
      <c r="O28" s="17" t="e">
        <f ca="1">IF(AND($D28&lt;&gt;"",#REF!&lt;&gt;"Fechado",$F28&gt;10,$J28=1),1,0)</f>
        <v>#REF!</v>
      </c>
    </row>
    <row r="29" spans="2:15" ht="14.4" x14ac:dyDescent="0.3">
      <c r="B29" s="5"/>
      <c r="C29" s="6"/>
      <c r="D29" s="7"/>
      <c r="E29" s="7"/>
      <c r="F29" s="1" t="str">
        <f t="shared" ca="1" si="1"/>
        <v/>
      </c>
      <c r="G29" s="27" t="str">
        <f t="shared" ca="1" si="0"/>
        <v/>
      </c>
      <c r="H29" s="10"/>
      <c r="J29" s="17">
        <f t="shared" ca="1" si="2"/>
        <v>0</v>
      </c>
      <c r="K29" s="17" t="e">
        <f ca="1">IF(AND($D29&lt;&gt;"",#REF!&lt;&gt;"Fechado",$F29&gt;=0,$F29&lt;=5,$J29=1),1,0)</f>
        <v>#REF!</v>
      </c>
      <c r="L29" s="17" t="e">
        <f ca="1">IF(AND($D29&lt;&gt;"",#REF!&lt;&gt;"Fechado",$F29&gt;=6,$F29&lt;=8,$J29=1),1,0)</f>
        <v>#REF!</v>
      </c>
      <c r="M29" s="17" t="e">
        <f ca="1">IF(AND($D29&lt;&gt;"",#REF!&lt;&gt;"Fechado",$F29=9,$J29=1),1,0)</f>
        <v>#REF!</v>
      </c>
      <c r="N29" s="17" t="e">
        <f ca="1">IF(AND($D29&lt;&gt;"",#REF!&lt;&gt;"Fechado",$F29=10,$J29=1),1,0)</f>
        <v>#REF!</v>
      </c>
      <c r="O29" s="17" t="e">
        <f ca="1">IF(AND($D29&lt;&gt;"",#REF!&lt;&gt;"Fechado",$F29&gt;10,$J29=1),1,0)</f>
        <v>#REF!</v>
      </c>
    </row>
    <row r="30" spans="2:15" ht="14.4" x14ac:dyDescent="0.3">
      <c r="B30" s="5"/>
      <c r="C30" s="6"/>
      <c r="D30" s="7"/>
      <c r="E30" s="7"/>
      <c r="F30" s="1" t="str">
        <f t="shared" ca="1" si="1"/>
        <v/>
      </c>
      <c r="G30" s="27" t="str">
        <f t="shared" ca="1" si="0"/>
        <v/>
      </c>
      <c r="H30" s="10"/>
      <c r="J30" s="17">
        <f t="shared" ca="1" si="2"/>
        <v>0</v>
      </c>
      <c r="K30" s="17" t="e">
        <f ca="1">IF(AND($D30&lt;&gt;"",#REF!&lt;&gt;"Fechado",$F30&gt;=0,$F30&lt;=5,$J30=1),1,0)</f>
        <v>#REF!</v>
      </c>
      <c r="L30" s="17" t="e">
        <f ca="1">IF(AND($D30&lt;&gt;"",#REF!&lt;&gt;"Fechado",$F30&gt;=6,$F30&lt;=8,$J30=1),1,0)</f>
        <v>#REF!</v>
      </c>
      <c r="M30" s="17" t="e">
        <f ca="1">IF(AND($D30&lt;&gt;"",#REF!&lt;&gt;"Fechado",$F30=9,$J30=1),1,0)</f>
        <v>#REF!</v>
      </c>
      <c r="N30" s="17" t="e">
        <f ca="1">IF(AND($D30&lt;&gt;"",#REF!&lt;&gt;"Fechado",$F30=10,$J30=1),1,0)</f>
        <v>#REF!</v>
      </c>
      <c r="O30" s="17" t="e">
        <f ca="1">IF(AND($D30&lt;&gt;"",#REF!&lt;&gt;"Fechado",$F30&gt;10,$J30=1),1,0)</f>
        <v>#REF!</v>
      </c>
    </row>
    <row r="31" spans="2:15" ht="14.4" x14ac:dyDescent="0.3">
      <c r="B31" s="5"/>
      <c r="C31" s="6"/>
      <c r="D31" s="7"/>
      <c r="E31" s="7"/>
      <c r="F31" s="1" t="str">
        <f t="shared" ca="1" si="1"/>
        <v/>
      </c>
      <c r="G31" s="27" t="str">
        <f t="shared" ca="1" si="0"/>
        <v/>
      </c>
      <c r="H31" s="10"/>
      <c r="J31" s="17">
        <f t="shared" ca="1" si="2"/>
        <v>0</v>
      </c>
      <c r="K31" s="17" t="e">
        <f ca="1">IF(AND($D31&lt;&gt;"",#REF!&lt;&gt;"Fechado",$F31&gt;=0,$F31&lt;=5,$J31=1),1,0)</f>
        <v>#REF!</v>
      </c>
      <c r="L31" s="17" t="e">
        <f ca="1">IF(AND($D31&lt;&gt;"",#REF!&lt;&gt;"Fechado",$F31&gt;=6,$F31&lt;=8,$J31=1),1,0)</f>
        <v>#REF!</v>
      </c>
      <c r="M31" s="17" t="e">
        <f ca="1">IF(AND($D31&lt;&gt;"",#REF!&lt;&gt;"Fechado",$F31=9,$J31=1),1,0)</f>
        <v>#REF!</v>
      </c>
      <c r="N31" s="17" t="e">
        <f ca="1">IF(AND($D31&lt;&gt;"",#REF!&lt;&gt;"Fechado",$F31=10,$J31=1),1,0)</f>
        <v>#REF!</v>
      </c>
      <c r="O31" s="17" t="e">
        <f ca="1">IF(AND($D31&lt;&gt;"",#REF!&lt;&gt;"Fechado",$F31&gt;10,$J31=1),1,0)</f>
        <v>#REF!</v>
      </c>
    </row>
    <row r="32" spans="2:15" ht="14.4" x14ac:dyDescent="0.3">
      <c r="B32" s="5"/>
      <c r="C32" s="6"/>
      <c r="D32" s="7"/>
      <c r="E32" s="7"/>
      <c r="F32" s="1" t="str">
        <f t="shared" ca="1" si="1"/>
        <v/>
      </c>
      <c r="G32" s="27" t="str">
        <f t="shared" ca="1" si="0"/>
        <v/>
      </c>
      <c r="H32" s="10"/>
      <c r="J32" s="17">
        <f t="shared" ca="1" si="2"/>
        <v>0</v>
      </c>
      <c r="K32" s="17" t="e">
        <f ca="1">IF(AND($D32&lt;&gt;"",#REF!&lt;&gt;"Fechado",$F32&gt;=0,$F32&lt;=5,$J32=1),1,0)</f>
        <v>#REF!</v>
      </c>
      <c r="L32" s="17" t="e">
        <f ca="1">IF(AND($D32&lt;&gt;"",#REF!&lt;&gt;"Fechado",$F32&gt;=6,$F32&lt;=8,$J32=1),1,0)</f>
        <v>#REF!</v>
      </c>
      <c r="M32" s="17" t="e">
        <f ca="1">IF(AND($D32&lt;&gt;"",#REF!&lt;&gt;"Fechado",$F32=9,$J32=1),1,0)</f>
        <v>#REF!</v>
      </c>
      <c r="N32" s="17" t="e">
        <f ca="1">IF(AND($D32&lt;&gt;"",#REF!&lt;&gt;"Fechado",$F32=10,$J32=1),1,0)</f>
        <v>#REF!</v>
      </c>
      <c r="O32" s="17" t="e">
        <f ca="1">IF(AND($D32&lt;&gt;"",#REF!&lt;&gt;"Fechado",$F32&gt;10,$J32=1),1,0)</f>
        <v>#REF!</v>
      </c>
    </row>
    <row r="33" spans="2:15" ht="14.4" x14ac:dyDescent="0.3">
      <c r="B33" s="5"/>
      <c r="C33" s="6"/>
      <c r="D33" s="7"/>
      <c r="E33" s="7"/>
      <c r="F33" s="1" t="str">
        <f t="shared" ca="1" si="1"/>
        <v/>
      </c>
      <c r="G33" s="27" t="str">
        <f t="shared" ca="1" si="0"/>
        <v/>
      </c>
      <c r="H33" s="10"/>
      <c r="J33" s="17">
        <f t="shared" ca="1" si="2"/>
        <v>0</v>
      </c>
      <c r="K33" s="17" t="e">
        <f ca="1">IF(AND($D33&lt;&gt;"",#REF!&lt;&gt;"Fechado",$F33&gt;=0,$F33&lt;=5,$J33=1),1,0)</f>
        <v>#REF!</v>
      </c>
      <c r="L33" s="17" t="e">
        <f ca="1">IF(AND($D33&lt;&gt;"",#REF!&lt;&gt;"Fechado",$F33&gt;=6,$F33&lt;=8,$J33=1),1,0)</f>
        <v>#REF!</v>
      </c>
      <c r="M33" s="17" t="e">
        <f ca="1">IF(AND($D33&lt;&gt;"",#REF!&lt;&gt;"Fechado",$F33=9,$J33=1),1,0)</f>
        <v>#REF!</v>
      </c>
      <c r="N33" s="17" t="e">
        <f ca="1">IF(AND($D33&lt;&gt;"",#REF!&lt;&gt;"Fechado",$F33=10,$J33=1),1,0)</f>
        <v>#REF!</v>
      </c>
      <c r="O33" s="17" t="e">
        <f ca="1">IF(AND($D33&lt;&gt;"",#REF!&lt;&gt;"Fechado",$F33&gt;10,$J33=1),1,0)</f>
        <v>#REF!</v>
      </c>
    </row>
    <row r="34" spans="2:15" ht="14.4" x14ac:dyDescent="0.3">
      <c r="B34" s="5"/>
      <c r="C34" s="6"/>
      <c r="D34" s="7"/>
      <c r="E34" s="7"/>
      <c r="F34" s="1" t="str">
        <f t="shared" ca="1" si="1"/>
        <v/>
      </c>
      <c r="G34" s="27" t="str">
        <f t="shared" ca="1" si="0"/>
        <v/>
      </c>
      <c r="H34" s="10"/>
      <c r="J34" s="17">
        <f t="shared" ca="1" si="2"/>
        <v>0</v>
      </c>
      <c r="K34" s="17" t="e">
        <f ca="1">IF(AND($D34&lt;&gt;"",#REF!&lt;&gt;"Fechado",$F34&gt;=0,$F34&lt;=5,$J34=1),1,0)</f>
        <v>#REF!</v>
      </c>
      <c r="L34" s="17" t="e">
        <f ca="1">IF(AND($D34&lt;&gt;"",#REF!&lt;&gt;"Fechado",$F34&gt;=6,$F34&lt;=8,$J34=1),1,0)</f>
        <v>#REF!</v>
      </c>
      <c r="M34" s="17" t="e">
        <f ca="1">IF(AND($D34&lt;&gt;"",#REF!&lt;&gt;"Fechado",$F34=9,$J34=1),1,0)</f>
        <v>#REF!</v>
      </c>
      <c r="N34" s="17" t="e">
        <f ca="1">IF(AND($D34&lt;&gt;"",#REF!&lt;&gt;"Fechado",$F34=10,$J34=1),1,0)</f>
        <v>#REF!</v>
      </c>
      <c r="O34" s="17" t="e">
        <f ca="1">IF(AND($D34&lt;&gt;"",#REF!&lt;&gt;"Fechado",$F34&gt;10,$J34=1),1,0)</f>
        <v>#REF!</v>
      </c>
    </row>
    <row r="35" spans="2:15" ht="14.4" x14ac:dyDescent="0.3">
      <c r="B35" s="5"/>
      <c r="C35" s="6"/>
      <c r="D35" s="7"/>
      <c r="E35" s="7"/>
      <c r="F35" s="1" t="str">
        <f t="shared" ca="1" si="1"/>
        <v/>
      </c>
      <c r="G35" s="27" t="str">
        <f t="shared" ca="1" si="0"/>
        <v/>
      </c>
      <c r="H35" s="10"/>
      <c r="J35" s="17">
        <f t="shared" ca="1" si="2"/>
        <v>0</v>
      </c>
      <c r="K35" s="17" t="e">
        <f ca="1">IF(AND($D35&lt;&gt;"",#REF!&lt;&gt;"Fechado",$F35&gt;=0,$F35&lt;=5,$J35=1),1,0)</f>
        <v>#REF!</v>
      </c>
      <c r="L35" s="17" t="e">
        <f ca="1">IF(AND($D35&lt;&gt;"",#REF!&lt;&gt;"Fechado",$F35&gt;=6,$F35&lt;=8,$J35=1),1,0)</f>
        <v>#REF!</v>
      </c>
      <c r="M35" s="17" t="e">
        <f ca="1">IF(AND($D35&lt;&gt;"",#REF!&lt;&gt;"Fechado",$F35=9,$J35=1),1,0)</f>
        <v>#REF!</v>
      </c>
      <c r="N35" s="17" t="e">
        <f ca="1">IF(AND($D35&lt;&gt;"",#REF!&lt;&gt;"Fechado",$F35=10,$J35=1),1,0)</f>
        <v>#REF!</v>
      </c>
      <c r="O35" s="17" t="e">
        <f ca="1">IF(AND($D35&lt;&gt;"",#REF!&lt;&gt;"Fechado",$F35&gt;10,$J35=1),1,0)</f>
        <v>#REF!</v>
      </c>
    </row>
    <row r="36" spans="2:15" ht="14.4" x14ac:dyDescent="0.3">
      <c r="B36" s="5"/>
      <c r="C36" s="6"/>
      <c r="D36" s="7"/>
      <c r="E36" s="7"/>
      <c r="F36" s="1" t="str">
        <f t="shared" ca="1" si="1"/>
        <v/>
      </c>
      <c r="G36" s="27" t="str">
        <f t="shared" ca="1" si="0"/>
        <v/>
      </c>
      <c r="H36" s="10"/>
      <c r="J36" s="17">
        <f t="shared" ca="1" si="2"/>
        <v>0</v>
      </c>
      <c r="K36" s="17" t="e">
        <f ca="1">IF(AND($D36&lt;&gt;"",#REF!&lt;&gt;"Fechado",$F36&gt;=0,$F36&lt;=5,$J36=1),1,0)</f>
        <v>#REF!</v>
      </c>
      <c r="L36" s="17" t="e">
        <f ca="1">IF(AND($D36&lt;&gt;"",#REF!&lt;&gt;"Fechado",$F36&gt;=6,$F36&lt;=8,$J36=1),1,0)</f>
        <v>#REF!</v>
      </c>
      <c r="M36" s="17" t="e">
        <f ca="1">IF(AND($D36&lt;&gt;"",#REF!&lt;&gt;"Fechado",$F36=9,$J36=1),1,0)</f>
        <v>#REF!</v>
      </c>
      <c r="N36" s="17" t="e">
        <f ca="1">IF(AND($D36&lt;&gt;"",#REF!&lt;&gt;"Fechado",$F36=10,$J36=1),1,0)</f>
        <v>#REF!</v>
      </c>
      <c r="O36" s="17" t="e">
        <f ca="1">IF(AND($D36&lt;&gt;"",#REF!&lt;&gt;"Fechado",$F36&gt;10,$J36=1),1,0)</f>
        <v>#REF!</v>
      </c>
    </row>
    <row r="37" spans="2:15" ht="14.4" x14ac:dyDescent="0.3">
      <c r="B37" s="5"/>
      <c r="C37" s="6"/>
      <c r="D37" s="7"/>
      <c r="E37" s="7"/>
      <c r="F37" s="1" t="str">
        <f t="shared" ca="1" si="1"/>
        <v/>
      </c>
      <c r="G37" s="27" t="str">
        <f t="shared" ca="1" si="0"/>
        <v/>
      </c>
      <c r="H37" s="10"/>
      <c r="J37" s="17">
        <f t="shared" ca="1" si="2"/>
        <v>0</v>
      </c>
      <c r="K37" s="17" t="e">
        <f ca="1">IF(AND($D37&lt;&gt;"",#REF!&lt;&gt;"Fechado",$F37&gt;=0,$F37&lt;=5,$J37=1),1,0)</f>
        <v>#REF!</v>
      </c>
      <c r="L37" s="17" t="e">
        <f ca="1">IF(AND($D37&lt;&gt;"",#REF!&lt;&gt;"Fechado",$F37&gt;=6,$F37&lt;=8,$J37=1),1,0)</f>
        <v>#REF!</v>
      </c>
      <c r="M37" s="17" t="e">
        <f ca="1">IF(AND($D37&lt;&gt;"",#REF!&lt;&gt;"Fechado",$F37=9,$J37=1),1,0)</f>
        <v>#REF!</v>
      </c>
      <c r="N37" s="17" t="e">
        <f ca="1">IF(AND($D37&lt;&gt;"",#REF!&lt;&gt;"Fechado",$F37=10,$J37=1),1,0)</f>
        <v>#REF!</v>
      </c>
      <c r="O37" s="17" t="e">
        <f ca="1">IF(AND($D37&lt;&gt;"",#REF!&lt;&gt;"Fechado",$F37&gt;10,$J37=1),1,0)</f>
        <v>#REF!</v>
      </c>
    </row>
    <row r="38" spans="2:15" ht="14.4" x14ac:dyDescent="0.3">
      <c r="B38" s="5"/>
      <c r="C38" s="6"/>
      <c r="D38" s="7"/>
      <c r="E38" s="7"/>
      <c r="F38" s="1" t="str">
        <f t="shared" ca="1" si="1"/>
        <v/>
      </c>
      <c r="G38" s="27" t="str">
        <f t="shared" ref="G38:G69" ca="1" si="3">IF(AND($D38&lt;&gt;"", ISNUMBER($D38)), IF(AND(IF(AND($E38&lt;&gt;"", ISNUMBER($E38)), $E38-$D38, TODAY()-$D38)&gt;=0, IF(AND($E38&lt;&gt;"", ISNUMBER($E38)), $E38-$D38, TODAY()-$D38)&lt;=5), "Dentro do prazo", IF(AND(IF(AND($E38&lt;&gt;"", ISNUMBER($E38)), $E38-$D38, TODAY()-$D38)&gt;=6, IF(AND($E38&lt;&gt;"", ISNUMBER($E38)), $E38-$D38, TODAY()-$D38)&lt;=8), "Atenção", IF(IF(AND($E38&lt;&gt;"", ISNUMBER($E38)), $E38-$D38, TODAY()-$D38)=9, "Vence hoje", IF(IF(AND($E38&lt;&gt;"", ISNUMBER($E38)), $E38-$D38, TODAY()-$D38)&gt;=10, "Vencido","")))), "")</f>
        <v/>
      </c>
      <c r="H38" s="10"/>
      <c r="J38" s="17">
        <f t="shared" ca="1" si="2"/>
        <v>0</v>
      </c>
      <c r="K38" s="17" t="e">
        <f ca="1">IF(AND($D38&lt;&gt;"",#REF!&lt;&gt;"Fechado",$F38&gt;=0,$F38&lt;=5,$J38=1),1,0)</f>
        <v>#REF!</v>
      </c>
      <c r="L38" s="17" t="e">
        <f ca="1">IF(AND($D38&lt;&gt;"",#REF!&lt;&gt;"Fechado",$F38&gt;=6,$F38&lt;=8,$J38=1),1,0)</f>
        <v>#REF!</v>
      </c>
      <c r="M38" s="17" t="e">
        <f ca="1">IF(AND($D38&lt;&gt;"",#REF!&lt;&gt;"Fechado",$F38=9,$J38=1),1,0)</f>
        <v>#REF!</v>
      </c>
      <c r="N38" s="17" t="e">
        <f ca="1">IF(AND($D38&lt;&gt;"",#REF!&lt;&gt;"Fechado",$F38=10,$J38=1),1,0)</f>
        <v>#REF!</v>
      </c>
      <c r="O38" s="17" t="e">
        <f ca="1">IF(AND($D38&lt;&gt;"",#REF!&lt;&gt;"Fechado",$F38&gt;10,$J38=1),1,0)</f>
        <v>#REF!</v>
      </c>
    </row>
    <row r="39" spans="2:15" ht="14.4" x14ac:dyDescent="0.3">
      <c r="B39" s="5"/>
      <c r="C39" s="6"/>
      <c r="D39" s="7"/>
      <c r="E39" s="7"/>
      <c r="F39" s="1" t="str">
        <f t="shared" ca="1" si="1"/>
        <v/>
      </c>
      <c r="G39" s="27" t="str">
        <f t="shared" ca="1" si="3"/>
        <v/>
      </c>
      <c r="H39" s="10"/>
      <c r="J39" s="17">
        <f t="shared" ca="1" si="2"/>
        <v>0</v>
      </c>
      <c r="K39" s="17" t="e">
        <f ca="1">IF(AND($D39&lt;&gt;"",#REF!&lt;&gt;"Fechado",$F39&gt;=0,$F39&lt;=5,$J39=1),1,0)</f>
        <v>#REF!</v>
      </c>
      <c r="L39" s="17" t="e">
        <f ca="1">IF(AND($D39&lt;&gt;"",#REF!&lt;&gt;"Fechado",$F39&gt;=6,$F39&lt;=8,$J39=1),1,0)</f>
        <v>#REF!</v>
      </c>
      <c r="M39" s="17" t="e">
        <f ca="1">IF(AND($D39&lt;&gt;"",#REF!&lt;&gt;"Fechado",$F39=9,$J39=1),1,0)</f>
        <v>#REF!</v>
      </c>
      <c r="N39" s="17" t="e">
        <f ca="1">IF(AND($D39&lt;&gt;"",#REF!&lt;&gt;"Fechado",$F39=10,$J39=1),1,0)</f>
        <v>#REF!</v>
      </c>
      <c r="O39" s="17" t="e">
        <f ca="1">IF(AND($D39&lt;&gt;"",#REF!&lt;&gt;"Fechado",$F39&gt;10,$J39=1),1,0)</f>
        <v>#REF!</v>
      </c>
    </row>
    <row r="40" spans="2:15" ht="14.4" x14ac:dyDescent="0.3">
      <c r="B40" s="5"/>
      <c r="C40" s="6"/>
      <c r="D40" s="7"/>
      <c r="E40" s="7"/>
      <c r="F40" s="1" t="str">
        <f t="shared" ca="1" si="1"/>
        <v/>
      </c>
      <c r="G40" s="27" t="str">
        <f t="shared" ca="1" si="3"/>
        <v/>
      </c>
      <c r="H40" s="10"/>
      <c r="J40" s="17">
        <f t="shared" ca="1" si="2"/>
        <v>0</v>
      </c>
      <c r="K40" s="17" t="e">
        <f ca="1">IF(AND($D40&lt;&gt;"",#REF!&lt;&gt;"Fechado",$F40&gt;=0,$F40&lt;=5,$J40=1),1,0)</f>
        <v>#REF!</v>
      </c>
      <c r="L40" s="17" t="e">
        <f ca="1">IF(AND($D40&lt;&gt;"",#REF!&lt;&gt;"Fechado",$F40&gt;=6,$F40&lt;=8,$J40=1),1,0)</f>
        <v>#REF!</v>
      </c>
      <c r="M40" s="17" t="e">
        <f ca="1">IF(AND($D40&lt;&gt;"",#REF!&lt;&gt;"Fechado",$F40=9,$J40=1),1,0)</f>
        <v>#REF!</v>
      </c>
      <c r="N40" s="17" t="e">
        <f ca="1">IF(AND($D40&lt;&gt;"",#REF!&lt;&gt;"Fechado",$F40=10,$J40=1),1,0)</f>
        <v>#REF!</v>
      </c>
      <c r="O40" s="17" t="e">
        <f ca="1">IF(AND($D40&lt;&gt;"",#REF!&lt;&gt;"Fechado",$F40&gt;10,$J40=1),1,0)</f>
        <v>#REF!</v>
      </c>
    </row>
    <row r="41" spans="2:15" ht="14.4" x14ac:dyDescent="0.3">
      <c r="B41" s="5"/>
      <c r="C41" s="6"/>
      <c r="D41" s="7"/>
      <c r="E41" s="7"/>
      <c r="F41" s="1" t="str">
        <f t="shared" ca="1" si="1"/>
        <v/>
      </c>
      <c r="G41" s="27" t="str">
        <f t="shared" ca="1" si="3"/>
        <v/>
      </c>
      <c r="H41" s="10"/>
      <c r="J41" s="17">
        <f t="shared" ca="1" si="2"/>
        <v>0</v>
      </c>
      <c r="K41" s="17" t="e">
        <f ca="1">IF(AND($D41&lt;&gt;"",#REF!&lt;&gt;"Fechado",$F41&gt;=0,$F41&lt;=5,$J41=1),1,0)</f>
        <v>#REF!</v>
      </c>
      <c r="L41" s="17" t="e">
        <f ca="1">IF(AND($D41&lt;&gt;"",#REF!&lt;&gt;"Fechado",$F41&gt;=6,$F41&lt;=8,$J41=1),1,0)</f>
        <v>#REF!</v>
      </c>
      <c r="M41" s="17" t="e">
        <f ca="1">IF(AND($D41&lt;&gt;"",#REF!&lt;&gt;"Fechado",$F41=9,$J41=1),1,0)</f>
        <v>#REF!</v>
      </c>
      <c r="N41" s="17" t="e">
        <f ca="1">IF(AND($D41&lt;&gt;"",#REF!&lt;&gt;"Fechado",$F41=10,$J41=1),1,0)</f>
        <v>#REF!</v>
      </c>
      <c r="O41" s="17" t="e">
        <f ca="1">IF(AND($D41&lt;&gt;"",#REF!&lt;&gt;"Fechado",$F41&gt;10,$J41=1),1,0)</f>
        <v>#REF!</v>
      </c>
    </row>
    <row r="42" spans="2:15" ht="14.4" x14ac:dyDescent="0.3">
      <c r="B42" s="5"/>
      <c r="C42" s="6"/>
      <c r="D42" s="7"/>
      <c r="E42" s="7"/>
      <c r="F42" s="1" t="str">
        <f t="shared" ca="1" si="1"/>
        <v/>
      </c>
      <c r="G42" s="27" t="str">
        <f t="shared" ca="1" si="3"/>
        <v/>
      </c>
      <c r="H42" s="10"/>
      <c r="J42" s="17">
        <f t="shared" ca="1" si="2"/>
        <v>0</v>
      </c>
      <c r="K42" s="17" t="e">
        <f ca="1">IF(AND($D42&lt;&gt;"",#REF!&lt;&gt;"Fechado",$F42&gt;=0,$F42&lt;=5,$J42=1),1,0)</f>
        <v>#REF!</v>
      </c>
      <c r="L42" s="17" t="e">
        <f ca="1">IF(AND($D42&lt;&gt;"",#REF!&lt;&gt;"Fechado",$F42&gt;=6,$F42&lt;=8,$J42=1),1,0)</f>
        <v>#REF!</v>
      </c>
      <c r="M42" s="17" t="e">
        <f ca="1">IF(AND($D42&lt;&gt;"",#REF!&lt;&gt;"Fechado",$F42=9,$J42=1),1,0)</f>
        <v>#REF!</v>
      </c>
      <c r="N42" s="17" t="e">
        <f ca="1">IF(AND($D42&lt;&gt;"",#REF!&lt;&gt;"Fechado",$F42=10,$J42=1),1,0)</f>
        <v>#REF!</v>
      </c>
      <c r="O42" s="17" t="e">
        <f ca="1">IF(AND($D42&lt;&gt;"",#REF!&lt;&gt;"Fechado",$F42&gt;10,$J42=1),1,0)</f>
        <v>#REF!</v>
      </c>
    </row>
    <row r="43" spans="2:15" ht="14.4" x14ac:dyDescent="0.3">
      <c r="B43" s="5"/>
      <c r="C43" s="6"/>
      <c r="D43" s="7"/>
      <c r="E43" s="7"/>
      <c r="F43" s="1" t="str">
        <f t="shared" ca="1" si="1"/>
        <v/>
      </c>
      <c r="G43" s="27" t="str">
        <f t="shared" ca="1" si="3"/>
        <v/>
      </c>
      <c r="H43" s="10"/>
      <c r="J43" s="17">
        <f t="shared" ca="1" si="2"/>
        <v>0</v>
      </c>
      <c r="K43" s="17" t="e">
        <f ca="1">IF(AND($D43&lt;&gt;"",#REF!&lt;&gt;"Fechado",$F43&gt;=0,$F43&lt;=5,$J43=1),1,0)</f>
        <v>#REF!</v>
      </c>
      <c r="L43" s="17" t="e">
        <f ca="1">IF(AND($D43&lt;&gt;"",#REF!&lt;&gt;"Fechado",$F43&gt;=6,$F43&lt;=8,$J43=1),1,0)</f>
        <v>#REF!</v>
      </c>
      <c r="M43" s="17" t="e">
        <f ca="1">IF(AND($D43&lt;&gt;"",#REF!&lt;&gt;"Fechado",$F43=9,$J43=1),1,0)</f>
        <v>#REF!</v>
      </c>
      <c r="N43" s="17" t="e">
        <f ca="1">IF(AND($D43&lt;&gt;"",#REF!&lt;&gt;"Fechado",$F43=10,$J43=1),1,0)</f>
        <v>#REF!</v>
      </c>
      <c r="O43" s="17" t="e">
        <f ca="1">IF(AND($D43&lt;&gt;"",#REF!&lt;&gt;"Fechado",$F43&gt;10,$J43=1),1,0)</f>
        <v>#REF!</v>
      </c>
    </row>
    <row r="44" spans="2:15" ht="14.4" x14ac:dyDescent="0.3">
      <c r="B44" s="5"/>
      <c r="C44" s="6"/>
      <c r="D44" s="7"/>
      <c r="E44" s="7"/>
      <c r="F44" s="1" t="str">
        <f t="shared" ca="1" si="1"/>
        <v/>
      </c>
      <c r="G44" s="27" t="str">
        <f t="shared" ca="1" si="3"/>
        <v/>
      </c>
      <c r="H44" s="10"/>
      <c r="J44" s="17">
        <f t="shared" ca="1" si="2"/>
        <v>0</v>
      </c>
      <c r="K44" s="17" t="e">
        <f ca="1">IF(AND($D44&lt;&gt;"",#REF!&lt;&gt;"Fechado",$F44&gt;=0,$F44&lt;=5,$J44=1),1,0)</f>
        <v>#REF!</v>
      </c>
      <c r="L44" s="17" t="e">
        <f ca="1">IF(AND($D44&lt;&gt;"",#REF!&lt;&gt;"Fechado",$F44&gt;=6,$F44&lt;=8,$J44=1),1,0)</f>
        <v>#REF!</v>
      </c>
      <c r="M44" s="17" t="e">
        <f ca="1">IF(AND($D44&lt;&gt;"",#REF!&lt;&gt;"Fechado",$F44=9,$J44=1),1,0)</f>
        <v>#REF!</v>
      </c>
      <c r="N44" s="17" t="e">
        <f ca="1">IF(AND($D44&lt;&gt;"",#REF!&lt;&gt;"Fechado",$F44=10,$J44=1),1,0)</f>
        <v>#REF!</v>
      </c>
      <c r="O44" s="17" t="e">
        <f ca="1">IF(AND($D44&lt;&gt;"",#REF!&lt;&gt;"Fechado",$F44&gt;10,$J44=1),1,0)</f>
        <v>#REF!</v>
      </c>
    </row>
    <row r="45" spans="2:15" ht="14.4" x14ac:dyDescent="0.3">
      <c r="B45" s="5"/>
      <c r="C45" s="6"/>
      <c r="D45" s="7"/>
      <c r="E45" s="7"/>
      <c r="F45" s="1" t="str">
        <f t="shared" ca="1" si="1"/>
        <v/>
      </c>
      <c r="G45" s="27" t="str">
        <f t="shared" ca="1" si="3"/>
        <v/>
      </c>
      <c r="H45" s="10"/>
      <c r="J45" s="17">
        <f t="shared" ca="1" si="2"/>
        <v>0</v>
      </c>
      <c r="K45" s="17" t="e">
        <f ca="1">IF(AND($D45&lt;&gt;"",#REF!&lt;&gt;"Fechado",$F45&gt;=0,$F45&lt;=5,$J45=1),1,0)</f>
        <v>#REF!</v>
      </c>
      <c r="L45" s="17" t="e">
        <f ca="1">IF(AND($D45&lt;&gt;"",#REF!&lt;&gt;"Fechado",$F45&gt;=6,$F45&lt;=8,$J45=1),1,0)</f>
        <v>#REF!</v>
      </c>
      <c r="M45" s="17" t="e">
        <f ca="1">IF(AND($D45&lt;&gt;"",#REF!&lt;&gt;"Fechado",$F45=9,$J45=1),1,0)</f>
        <v>#REF!</v>
      </c>
      <c r="N45" s="17" t="e">
        <f ca="1">IF(AND($D45&lt;&gt;"",#REF!&lt;&gt;"Fechado",$F45=10,$J45=1),1,0)</f>
        <v>#REF!</v>
      </c>
      <c r="O45" s="17" t="e">
        <f ca="1">IF(AND($D45&lt;&gt;"",#REF!&lt;&gt;"Fechado",$F45&gt;10,$J45=1),1,0)</f>
        <v>#REF!</v>
      </c>
    </row>
    <row r="46" spans="2:15" ht="14.4" x14ac:dyDescent="0.3">
      <c r="B46" s="5"/>
      <c r="C46" s="6"/>
      <c r="D46" s="7"/>
      <c r="E46" s="7"/>
      <c r="F46" s="1" t="str">
        <f t="shared" ca="1" si="1"/>
        <v/>
      </c>
      <c r="G46" s="27" t="str">
        <f t="shared" ca="1" si="3"/>
        <v/>
      </c>
      <c r="H46" s="10"/>
      <c r="J46" s="17">
        <f t="shared" ca="1" si="2"/>
        <v>0</v>
      </c>
      <c r="K46" s="17" t="e">
        <f ca="1">IF(AND($D46&lt;&gt;"",#REF!&lt;&gt;"Fechado",$F46&gt;=0,$F46&lt;=5,$J46=1),1,0)</f>
        <v>#REF!</v>
      </c>
      <c r="L46" s="17" t="e">
        <f ca="1">IF(AND($D46&lt;&gt;"",#REF!&lt;&gt;"Fechado",$F46&gt;=6,$F46&lt;=8,$J46=1),1,0)</f>
        <v>#REF!</v>
      </c>
      <c r="M46" s="17" t="e">
        <f ca="1">IF(AND($D46&lt;&gt;"",#REF!&lt;&gt;"Fechado",$F46=9,$J46=1),1,0)</f>
        <v>#REF!</v>
      </c>
      <c r="N46" s="17" t="e">
        <f ca="1">IF(AND($D46&lt;&gt;"",#REF!&lt;&gt;"Fechado",$F46=10,$J46=1),1,0)</f>
        <v>#REF!</v>
      </c>
      <c r="O46" s="17" t="e">
        <f ca="1">IF(AND($D46&lt;&gt;"",#REF!&lt;&gt;"Fechado",$F46&gt;10,$J46=1),1,0)</f>
        <v>#REF!</v>
      </c>
    </row>
    <row r="47" spans="2:15" ht="14.4" x14ac:dyDescent="0.3">
      <c r="B47" s="5"/>
      <c r="C47" s="6"/>
      <c r="D47" s="7"/>
      <c r="E47" s="7"/>
      <c r="F47" s="1" t="str">
        <f t="shared" ca="1" si="1"/>
        <v/>
      </c>
      <c r="G47" s="27" t="str">
        <f t="shared" ca="1" si="3"/>
        <v/>
      </c>
      <c r="H47" s="10"/>
      <c r="J47" s="17">
        <f t="shared" ca="1" si="2"/>
        <v>0</v>
      </c>
      <c r="K47" s="17" t="e">
        <f ca="1">IF(AND($D47&lt;&gt;"",#REF!&lt;&gt;"Fechado",$F47&gt;=0,$F47&lt;=5,$J47=1),1,0)</f>
        <v>#REF!</v>
      </c>
      <c r="L47" s="17" t="e">
        <f ca="1">IF(AND($D47&lt;&gt;"",#REF!&lt;&gt;"Fechado",$F47&gt;=6,$F47&lt;=8,$J47=1),1,0)</f>
        <v>#REF!</v>
      </c>
      <c r="M47" s="17" t="e">
        <f ca="1">IF(AND($D47&lt;&gt;"",#REF!&lt;&gt;"Fechado",$F47=9,$J47=1),1,0)</f>
        <v>#REF!</v>
      </c>
      <c r="N47" s="17" t="e">
        <f ca="1">IF(AND($D47&lt;&gt;"",#REF!&lt;&gt;"Fechado",$F47=10,$J47=1),1,0)</f>
        <v>#REF!</v>
      </c>
      <c r="O47" s="17" t="e">
        <f ca="1">IF(AND($D47&lt;&gt;"",#REF!&lt;&gt;"Fechado",$F47&gt;10,$J47=1),1,0)</f>
        <v>#REF!</v>
      </c>
    </row>
    <row r="48" spans="2:15" ht="14.4" x14ac:dyDescent="0.3">
      <c r="B48" s="5"/>
      <c r="C48" s="6"/>
      <c r="D48" s="7"/>
      <c r="E48" s="7"/>
      <c r="F48" s="1" t="str">
        <f t="shared" ca="1" si="1"/>
        <v/>
      </c>
      <c r="G48" s="27" t="str">
        <f t="shared" ca="1" si="3"/>
        <v/>
      </c>
      <c r="H48" s="10"/>
      <c r="J48" s="17">
        <f t="shared" ca="1" si="2"/>
        <v>0</v>
      </c>
      <c r="K48" s="17" t="e">
        <f ca="1">IF(AND($D48&lt;&gt;"",#REF!&lt;&gt;"Fechado",$F48&gt;=0,$F48&lt;=5,$J48=1),1,0)</f>
        <v>#REF!</v>
      </c>
      <c r="L48" s="17" t="e">
        <f ca="1">IF(AND($D48&lt;&gt;"",#REF!&lt;&gt;"Fechado",$F48&gt;=6,$F48&lt;=8,$J48=1),1,0)</f>
        <v>#REF!</v>
      </c>
      <c r="M48" s="17" t="e">
        <f ca="1">IF(AND($D48&lt;&gt;"",#REF!&lt;&gt;"Fechado",$F48=9,$J48=1),1,0)</f>
        <v>#REF!</v>
      </c>
      <c r="N48" s="17" t="e">
        <f ca="1">IF(AND($D48&lt;&gt;"",#REF!&lt;&gt;"Fechado",$F48=10,$J48=1),1,0)</f>
        <v>#REF!</v>
      </c>
      <c r="O48" s="17" t="e">
        <f ca="1">IF(AND($D48&lt;&gt;"",#REF!&lt;&gt;"Fechado",$F48&gt;10,$J48=1),1,0)</f>
        <v>#REF!</v>
      </c>
    </row>
    <row r="49" spans="2:15" ht="14.4" x14ac:dyDescent="0.3">
      <c r="B49" s="5"/>
      <c r="C49" s="6"/>
      <c r="D49" s="7"/>
      <c r="E49" s="7"/>
      <c r="F49" s="1" t="str">
        <f t="shared" ca="1" si="1"/>
        <v/>
      </c>
      <c r="G49" s="27" t="str">
        <f t="shared" ca="1" si="3"/>
        <v/>
      </c>
      <c r="H49" s="10"/>
      <c r="J49" s="17">
        <f t="shared" ca="1" si="2"/>
        <v>0</v>
      </c>
      <c r="K49" s="17" t="e">
        <f ca="1">IF(AND($D49&lt;&gt;"",#REF!&lt;&gt;"Fechado",$F49&gt;=0,$F49&lt;=5,$J49=1),1,0)</f>
        <v>#REF!</v>
      </c>
      <c r="L49" s="17" t="e">
        <f ca="1">IF(AND($D49&lt;&gt;"",#REF!&lt;&gt;"Fechado",$F49&gt;=6,$F49&lt;=8,$J49=1),1,0)</f>
        <v>#REF!</v>
      </c>
      <c r="M49" s="17" t="e">
        <f ca="1">IF(AND($D49&lt;&gt;"",#REF!&lt;&gt;"Fechado",$F49=9,$J49=1),1,0)</f>
        <v>#REF!</v>
      </c>
      <c r="N49" s="17" t="e">
        <f ca="1">IF(AND($D49&lt;&gt;"",#REF!&lt;&gt;"Fechado",$F49=10,$J49=1),1,0)</f>
        <v>#REF!</v>
      </c>
      <c r="O49" s="17" t="e">
        <f ca="1">IF(AND($D49&lt;&gt;"",#REF!&lt;&gt;"Fechado",$F49&gt;10,$J49=1),1,0)</f>
        <v>#REF!</v>
      </c>
    </row>
    <row r="50" spans="2:15" ht="14.4" x14ac:dyDescent="0.3">
      <c r="B50" s="5"/>
      <c r="C50" s="6"/>
      <c r="D50" s="7"/>
      <c r="E50" s="7"/>
      <c r="F50" s="1" t="str">
        <f t="shared" ca="1" si="1"/>
        <v/>
      </c>
      <c r="G50" s="27" t="str">
        <f t="shared" ca="1" si="3"/>
        <v/>
      </c>
      <c r="H50" s="10"/>
      <c r="J50" s="17">
        <f t="shared" ca="1" si="2"/>
        <v>0</v>
      </c>
      <c r="K50" s="17" t="e">
        <f ca="1">IF(AND($D50&lt;&gt;"",#REF!&lt;&gt;"Fechado",$F50&gt;=0,$F50&lt;=5,$J50=1),1,0)</f>
        <v>#REF!</v>
      </c>
      <c r="L50" s="17" t="e">
        <f ca="1">IF(AND($D50&lt;&gt;"",#REF!&lt;&gt;"Fechado",$F50&gt;=6,$F50&lt;=8,$J50=1),1,0)</f>
        <v>#REF!</v>
      </c>
      <c r="M50" s="17" t="e">
        <f ca="1">IF(AND($D50&lt;&gt;"",#REF!&lt;&gt;"Fechado",$F50=9,$J50=1),1,0)</f>
        <v>#REF!</v>
      </c>
      <c r="N50" s="17" t="e">
        <f ca="1">IF(AND($D50&lt;&gt;"",#REF!&lt;&gt;"Fechado",$F50=10,$J50=1),1,0)</f>
        <v>#REF!</v>
      </c>
      <c r="O50" s="17" t="e">
        <f ca="1">IF(AND($D50&lt;&gt;"",#REF!&lt;&gt;"Fechado",$F50&gt;10,$J50=1),1,0)</f>
        <v>#REF!</v>
      </c>
    </row>
    <row r="51" spans="2:15" ht="14.4" x14ac:dyDescent="0.3">
      <c r="B51" s="5"/>
      <c r="C51" s="6"/>
      <c r="D51" s="7"/>
      <c r="E51" s="7"/>
      <c r="F51" s="1" t="str">
        <f t="shared" ca="1" si="1"/>
        <v/>
      </c>
      <c r="G51" s="27" t="str">
        <f t="shared" ca="1" si="3"/>
        <v/>
      </c>
      <c r="H51" s="10"/>
      <c r="J51" s="17">
        <f t="shared" ca="1" si="2"/>
        <v>0</v>
      </c>
      <c r="K51" s="17" t="e">
        <f ca="1">IF(AND($D51&lt;&gt;"",#REF!&lt;&gt;"Fechado",$F51&gt;=0,$F51&lt;=5,$J51=1),1,0)</f>
        <v>#REF!</v>
      </c>
      <c r="L51" s="17" t="e">
        <f ca="1">IF(AND($D51&lt;&gt;"",#REF!&lt;&gt;"Fechado",$F51&gt;=6,$F51&lt;=8,$J51=1),1,0)</f>
        <v>#REF!</v>
      </c>
      <c r="M51" s="17" t="e">
        <f ca="1">IF(AND($D51&lt;&gt;"",#REF!&lt;&gt;"Fechado",$F51=9,$J51=1),1,0)</f>
        <v>#REF!</v>
      </c>
      <c r="N51" s="17" t="e">
        <f ca="1">IF(AND($D51&lt;&gt;"",#REF!&lt;&gt;"Fechado",$F51=10,$J51=1),1,0)</f>
        <v>#REF!</v>
      </c>
      <c r="O51" s="17" t="e">
        <f ca="1">IF(AND($D51&lt;&gt;"",#REF!&lt;&gt;"Fechado",$F51&gt;10,$J51=1),1,0)</f>
        <v>#REF!</v>
      </c>
    </row>
    <row r="52" spans="2:15" ht="14.4" x14ac:dyDescent="0.3">
      <c r="B52" s="5"/>
      <c r="C52" s="6"/>
      <c r="D52" s="7"/>
      <c r="E52" s="7"/>
      <c r="F52" s="1" t="str">
        <f t="shared" ca="1" si="1"/>
        <v/>
      </c>
      <c r="G52" s="27" t="str">
        <f t="shared" ca="1" si="3"/>
        <v/>
      </c>
      <c r="H52" s="10"/>
      <c r="J52" s="17">
        <f t="shared" ca="1" si="2"/>
        <v>0</v>
      </c>
      <c r="K52" s="17" t="e">
        <f ca="1">IF(AND($D52&lt;&gt;"",#REF!&lt;&gt;"Fechado",$F52&gt;=0,$F52&lt;=5,$J52=1),1,0)</f>
        <v>#REF!</v>
      </c>
      <c r="L52" s="17" t="e">
        <f ca="1">IF(AND($D52&lt;&gt;"",#REF!&lt;&gt;"Fechado",$F52&gt;=6,$F52&lt;=8,$J52=1),1,0)</f>
        <v>#REF!</v>
      </c>
      <c r="M52" s="17" t="e">
        <f ca="1">IF(AND($D52&lt;&gt;"",#REF!&lt;&gt;"Fechado",$F52=9,$J52=1),1,0)</f>
        <v>#REF!</v>
      </c>
      <c r="N52" s="17" t="e">
        <f ca="1">IF(AND($D52&lt;&gt;"",#REF!&lt;&gt;"Fechado",$F52=10,$J52=1),1,0)</f>
        <v>#REF!</v>
      </c>
      <c r="O52" s="17" t="e">
        <f ca="1">IF(AND($D52&lt;&gt;"",#REF!&lt;&gt;"Fechado",$F52&gt;10,$J52=1),1,0)</f>
        <v>#REF!</v>
      </c>
    </row>
    <row r="53" spans="2:15" ht="14.4" x14ac:dyDescent="0.3">
      <c r="B53" s="5"/>
      <c r="C53" s="6"/>
      <c r="D53" s="7"/>
      <c r="E53" s="7"/>
      <c r="F53" s="1" t="str">
        <f t="shared" ca="1" si="1"/>
        <v/>
      </c>
      <c r="G53" s="27" t="str">
        <f t="shared" ca="1" si="3"/>
        <v/>
      </c>
      <c r="H53" s="10"/>
      <c r="J53" s="17">
        <f t="shared" ca="1" si="2"/>
        <v>0</v>
      </c>
      <c r="K53" s="17" t="e">
        <f ca="1">IF(AND($D53&lt;&gt;"",#REF!&lt;&gt;"Fechado",$F53&gt;=0,$F53&lt;=5,$J53=1),1,0)</f>
        <v>#REF!</v>
      </c>
      <c r="L53" s="17" t="e">
        <f ca="1">IF(AND($D53&lt;&gt;"",#REF!&lt;&gt;"Fechado",$F53&gt;=6,$F53&lt;=8,$J53=1),1,0)</f>
        <v>#REF!</v>
      </c>
      <c r="M53" s="17" t="e">
        <f ca="1">IF(AND($D53&lt;&gt;"",#REF!&lt;&gt;"Fechado",$F53=9,$J53=1),1,0)</f>
        <v>#REF!</v>
      </c>
      <c r="N53" s="17" t="e">
        <f ca="1">IF(AND($D53&lt;&gt;"",#REF!&lt;&gt;"Fechado",$F53=10,$J53=1),1,0)</f>
        <v>#REF!</v>
      </c>
      <c r="O53" s="17" t="e">
        <f ca="1">IF(AND($D53&lt;&gt;"",#REF!&lt;&gt;"Fechado",$F53&gt;10,$J53=1),1,0)</f>
        <v>#REF!</v>
      </c>
    </row>
    <row r="54" spans="2:15" ht="14.4" x14ac:dyDescent="0.3">
      <c r="B54" s="5"/>
      <c r="C54" s="6"/>
      <c r="D54" s="7"/>
      <c r="E54" s="7"/>
      <c r="F54" s="1" t="str">
        <f t="shared" ca="1" si="1"/>
        <v/>
      </c>
      <c r="G54" s="27" t="str">
        <f t="shared" ca="1" si="3"/>
        <v/>
      </c>
      <c r="H54" s="10"/>
      <c r="J54" s="17">
        <f t="shared" ca="1" si="2"/>
        <v>0</v>
      </c>
      <c r="K54" s="17" t="e">
        <f ca="1">IF(AND($D54&lt;&gt;"",#REF!&lt;&gt;"Fechado",$F54&gt;=0,$F54&lt;=5,$J54=1),1,0)</f>
        <v>#REF!</v>
      </c>
      <c r="L54" s="17" t="e">
        <f ca="1">IF(AND($D54&lt;&gt;"",#REF!&lt;&gt;"Fechado",$F54&gt;=6,$F54&lt;=8,$J54=1),1,0)</f>
        <v>#REF!</v>
      </c>
      <c r="M54" s="17" t="e">
        <f ca="1">IF(AND($D54&lt;&gt;"",#REF!&lt;&gt;"Fechado",$F54=9,$J54=1),1,0)</f>
        <v>#REF!</v>
      </c>
      <c r="N54" s="17" t="e">
        <f ca="1">IF(AND($D54&lt;&gt;"",#REF!&lt;&gt;"Fechado",$F54=10,$J54=1),1,0)</f>
        <v>#REF!</v>
      </c>
      <c r="O54" s="17" t="e">
        <f ca="1">IF(AND($D54&lt;&gt;"",#REF!&lt;&gt;"Fechado",$F54&gt;10,$J54=1),1,0)</f>
        <v>#REF!</v>
      </c>
    </row>
    <row r="55" spans="2:15" ht="14.4" x14ac:dyDescent="0.3">
      <c r="B55" s="5"/>
      <c r="C55" s="6"/>
      <c r="D55" s="7"/>
      <c r="E55" s="7"/>
      <c r="F55" s="1" t="str">
        <f t="shared" ca="1" si="1"/>
        <v/>
      </c>
      <c r="G55" s="27" t="str">
        <f t="shared" ca="1" si="3"/>
        <v/>
      </c>
      <c r="H55" s="10"/>
      <c r="J55" s="17">
        <f t="shared" ca="1" si="2"/>
        <v>0</v>
      </c>
      <c r="K55" s="17" t="e">
        <f ca="1">IF(AND($D55&lt;&gt;"",#REF!&lt;&gt;"Fechado",$F55&gt;=0,$F55&lt;=5,$J55=1),1,0)</f>
        <v>#REF!</v>
      </c>
      <c r="L55" s="17" t="e">
        <f ca="1">IF(AND($D55&lt;&gt;"",#REF!&lt;&gt;"Fechado",$F55&gt;=6,$F55&lt;=8,$J55=1),1,0)</f>
        <v>#REF!</v>
      </c>
      <c r="M55" s="17" t="e">
        <f ca="1">IF(AND($D55&lt;&gt;"",#REF!&lt;&gt;"Fechado",$F55=9,$J55=1),1,0)</f>
        <v>#REF!</v>
      </c>
      <c r="N55" s="17" t="e">
        <f ca="1">IF(AND($D55&lt;&gt;"",#REF!&lt;&gt;"Fechado",$F55=10,$J55=1),1,0)</f>
        <v>#REF!</v>
      </c>
      <c r="O55" s="17" t="e">
        <f ca="1">IF(AND($D55&lt;&gt;"",#REF!&lt;&gt;"Fechado",$F55&gt;10,$J55=1),1,0)</f>
        <v>#REF!</v>
      </c>
    </row>
    <row r="56" spans="2:15" ht="14.4" x14ac:dyDescent="0.3">
      <c r="B56" s="5"/>
      <c r="C56" s="6"/>
      <c r="D56" s="7"/>
      <c r="E56" s="7"/>
      <c r="F56" s="1" t="str">
        <f t="shared" ca="1" si="1"/>
        <v/>
      </c>
      <c r="G56" s="27" t="str">
        <f t="shared" ca="1" si="3"/>
        <v/>
      </c>
      <c r="H56" s="10"/>
      <c r="J56" s="17">
        <f t="shared" ca="1" si="2"/>
        <v>0</v>
      </c>
      <c r="K56" s="17" t="e">
        <f ca="1">IF(AND($D56&lt;&gt;"",#REF!&lt;&gt;"Fechado",$F56&gt;=0,$F56&lt;=5,$J56=1),1,0)</f>
        <v>#REF!</v>
      </c>
      <c r="L56" s="17" t="e">
        <f ca="1">IF(AND($D56&lt;&gt;"",#REF!&lt;&gt;"Fechado",$F56&gt;=6,$F56&lt;=8,$J56=1),1,0)</f>
        <v>#REF!</v>
      </c>
      <c r="M56" s="17" t="e">
        <f ca="1">IF(AND($D56&lt;&gt;"",#REF!&lt;&gt;"Fechado",$F56=9,$J56=1),1,0)</f>
        <v>#REF!</v>
      </c>
      <c r="N56" s="17" t="e">
        <f ca="1">IF(AND($D56&lt;&gt;"",#REF!&lt;&gt;"Fechado",$F56=10,$J56=1),1,0)</f>
        <v>#REF!</v>
      </c>
      <c r="O56" s="17" t="e">
        <f ca="1">IF(AND($D56&lt;&gt;"",#REF!&lt;&gt;"Fechado",$F56&gt;10,$J56=1),1,0)</f>
        <v>#REF!</v>
      </c>
    </row>
    <row r="57" spans="2:15" ht="14.4" x14ac:dyDescent="0.3">
      <c r="B57" s="5"/>
      <c r="C57" s="6"/>
      <c r="D57" s="7"/>
      <c r="E57" s="7"/>
      <c r="F57" s="1" t="str">
        <f t="shared" ca="1" si="1"/>
        <v/>
      </c>
      <c r="G57" s="27" t="str">
        <f t="shared" ca="1" si="3"/>
        <v/>
      </c>
      <c r="H57" s="10"/>
      <c r="J57" s="17">
        <f t="shared" ca="1" si="2"/>
        <v>0</v>
      </c>
      <c r="K57" s="17" t="e">
        <f ca="1">IF(AND($D57&lt;&gt;"",#REF!&lt;&gt;"Fechado",$F57&gt;=0,$F57&lt;=5,$J57=1),1,0)</f>
        <v>#REF!</v>
      </c>
      <c r="L57" s="17" t="e">
        <f ca="1">IF(AND($D57&lt;&gt;"",#REF!&lt;&gt;"Fechado",$F57&gt;=6,$F57&lt;=8,$J57=1),1,0)</f>
        <v>#REF!</v>
      </c>
      <c r="M57" s="17" t="e">
        <f ca="1">IF(AND($D57&lt;&gt;"",#REF!&lt;&gt;"Fechado",$F57=9,$J57=1),1,0)</f>
        <v>#REF!</v>
      </c>
      <c r="N57" s="17" t="e">
        <f ca="1">IF(AND($D57&lt;&gt;"",#REF!&lt;&gt;"Fechado",$F57=10,$J57=1),1,0)</f>
        <v>#REF!</v>
      </c>
      <c r="O57" s="17" t="e">
        <f ca="1">IF(AND($D57&lt;&gt;"",#REF!&lt;&gt;"Fechado",$F57&gt;10,$J57=1),1,0)</f>
        <v>#REF!</v>
      </c>
    </row>
    <row r="58" spans="2:15" ht="14.4" x14ac:dyDescent="0.3">
      <c r="B58" s="5"/>
      <c r="C58" s="6"/>
      <c r="D58" s="7"/>
      <c r="E58" s="7"/>
      <c r="F58" s="1" t="str">
        <f t="shared" ca="1" si="1"/>
        <v/>
      </c>
      <c r="G58" s="27" t="str">
        <f t="shared" ca="1" si="3"/>
        <v/>
      </c>
      <c r="H58" s="10"/>
      <c r="J58" s="17">
        <f t="shared" ca="1" si="2"/>
        <v>0</v>
      </c>
      <c r="K58" s="17" t="e">
        <f ca="1">IF(AND($D58&lt;&gt;"",#REF!&lt;&gt;"Fechado",$F58&gt;=0,$F58&lt;=5,$J58=1),1,0)</f>
        <v>#REF!</v>
      </c>
      <c r="L58" s="17" t="e">
        <f ca="1">IF(AND($D58&lt;&gt;"",#REF!&lt;&gt;"Fechado",$F58&gt;=6,$F58&lt;=8,$J58=1),1,0)</f>
        <v>#REF!</v>
      </c>
      <c r="M58" s="17" t="e">
        <f ca="1">IF(AND($D58&lt;&gt;"",#REF!&lt;&gt;"Fechado",$F58=9,$J58=1),1,0)</f>
        <v>#REF!</v>
      </c>
      <c r="N58" s="17" t="e">
        <f ca="1">IF(AND($D58&lt;&gt;"",#REF!&lt;&gt;"Fechado",$F58=10,$J58=1),1,0)</f>
        <v>#REF!</v>
      </c>
      <c r="O58" s="17" t="e">
        <f ca="1">IF(AND($D58&lt;&gt;"",#REF!&lt;&gt;"Fechado",$F58&gt;10,$J58=1),1,0)</f>
        <v>#REF!</v>
      </c>
    </row>
    <row r="59" spans="2:15" ht="14.4" x14ac:dyDescent="0.3">
      <c r="B59" s="5"/>
      <c r="C59" s="6"/>
      <c r="D59" s="7"/>
      <c r="E59" s="7"/>
      <c r="F59" s="1" t="str">
        <f t="shared" ca="1" si="1"/>
        <v/>
      </c>
      <c r="G59" s="27" t="str">
        <f t="shared" ca="1" si="3"/>
        <v/>
      </c>
      <c r="H59" s="10"/>
      <c r="J59" s="17">
        <f t="shared" ca="1" si="2"/>
        <v>0</v>
      </c>
      <c r="K59" s="17" t="e">
        <f ca="1">IF(AND($D59&lt;&gt;"",#REF!&lt;&gt;"Fechado",$F59&gt;=0,$F59&lt;=5,$J59=1),1,0)</f>
        <v>#REF!</v>
      </c>
      <c r="L59" s="17" t="e">
        <f ca="1">IF(AND($D59&lt;&gt;"",#REF!&lt;&gt;"Fechado",$F59&gt;=6,$F59&lt;=8,$J59=1),1,0)</f>
        <v>#REF!</v>
      </c>
      <c r="M59" s="17" t="e">
        <f ca="1">IF(AND($D59&lt;&gt;"",#REF!&lt;&gt;"Fechado",$F59=9,$J59=1),1,0)</f>
        <v>#REF!</v>
      </c>
      <c r="N59" s="17" t="e">
        <f ca="1">IF(AND($D59&lt;&gt;"",#REF!&lt;&gt;"Fechado",$F59=10,$J59=1),1,0)</f>
        <v>#REF!</v>
      </c>
      <c r="O59" s="17" t="e">
        <f ca="1">IF(AND($D59&lt;&gt;"",#REF!&lt;&gt;"Fechado",$F59&gt;10,$J59=1),1,0)</f>
        <v>#REF!</v>
      </c>
    </row>
    <row r="60" spans="2:15" ht="14.4" x14ac:dyDescent="0.3">
      <c r="B60" s="5"/>
      <c r="C60" s="6"/>
      <c r="D60" s="7"/>
      <c r="E60" s="7"/>
      <c r="F60" s="1" t="str">
        <f t="shared" ca="1" si="1"/>
        <v/>
      </c>
      <c r="G60" s="27" t="str">
        <f t="shared" ca="1" si="3"/>
        <v/>
      </c>
      <c r="H60" s="10"/>
      <c r="J60" s="17">
        <f t="shared" ca="1" si="2"/>
        <v>0</v>
      </c>
      <c r="K60" s="17" t="e">
        <f ca="1">IF(AND($D60&lt;&gt;"",#REF!&lt;&gt;"Fechado",$F60&gt;=0,$F60&lt;=5,$J60=1),1,0)</f>
        <v>#REF!</v>
      </c>
      <c r="L60" s="17" t="e">
        <f ca="1">IF(AND($D60&lt;&gt;"",#REF!&lt;&gt;"Fechado",$F60&gt;=6,$F60&lt;=8,$J60=1),1,0)</f>
        <v>#REF!</v>
      </c>
      <c r="M60" s="17" t="e">
        <f ca="1">IF(AND($D60&lt;&gt;"",#REF!&lt;&gt;"Fechado",$F60=9,$J60=1),1,0)</f>
        <v>#REF!</v>
      </c>
      <c r="N60" s="17" t="e">
        <f ca="1">IF(AND($D60&lt;&gt;"",#REF!&lt;&gt;"Fechado",$F60=10,$J60=1),1,0)</f>
        <v>#REF!</v>
      </c>
      <c r="O60" s="17" t="e">
        <f ca="1">IF(AND($D60&lt;&gt;"",#REF!&lt;&gt;"Fechado",$F60&gt;10,$J60=1),1,0)</f>
        <v>#REF!</v>
      </c>
    </row>
    <row r="61" spans="2:15" ht="14.4" x14ac:dyDescent="0.3">
      <c r="B61" s="5"/>
      <c r="C61" s="6"/>
      <c r="D61" s="7"/>
      <c r="E61" s="7"/>
      <c r="F61" s="1" t="str">
        <f t="shared" ca="1" si="1"/>
        <v/>
      </c>
      <c r="G61" s="27" t="str">
        <f t="shared" ca="1" si="3"/>
        <v/>
      </c>
      <c r="H61" s="10"/>
      <c r="J61" s="17">
        <f t="shared" ca="1" si="2"/>
        <v>0</v>
      </c>
      <c r="K61" s="17" t="e">
        <f ca="1">IF(AND($D61&lt;&gt;"",#REF!&lt;&gt;"Fechado",$F61&gt;=0,$F61&lt;=5,$J61=1),1,0)</f>
        <v>#REF!</v>
      </c>
      <c r="L61" s="17" t="e">
        <f ca="1">IF(AND($D61&lt;&gt;"",#REF!&lt;&gt;"Fechado",$F61&gt;=6,$F61&lt;=8,$J61=1),1,0)</f>
        <v>#REF!</v>
      </c>
      <c r="M61" s="17" t="e">
        <f ca="1">IF(AND($D61&lt;&gt;"",#REF!&lt;&gt;"Fechado",$F61=9,$J61=1),1,0)</f>
        <v>#REF!</v>
      </c>
      <c r="N61" s="17" t="e">
        <f ca="1">IF(AND($D61&lt;&gt;"",#REF!&lt;&gt;"Fechado",$F61=10,$J61=1),1,0)</f>
        <v>#REF!</v>
      </c>
      <c r="O61" s="17" t="e">
        <f ca="1">IF(AND($D61&lt;&gt;"",#REF!&lt;&gt;"Fechado",$F61&gt;10,$J61=1),1,0)</f>
        <v>#REF!</v>
      </c>
    </row>
    <row r="62" spans="2:15" ht="14.4" x14ac:dyDescent="0.3">
      <c r="B62" s="5"/>
      <c r="C62" s="6"/>
      <c r="D62" s="7"/>
      <c r="E62" s="7"/>
      <c r="F62" s="1" t="str">
        <f t="shared" ca="1" si="1"/>
        <v/>
      </c>
      <c r="G62" s="27" t="str">
        <f t="shared" ca="1" si="3"/>
        <v/>
      </c>
      <c r="H62" s="10"/>
      <c r="J62" s="17">
        <f t="shared" ca="1" si="2"/>
        <v>0</v>
      </c>
      <c r="K62" s="17" t="e">
        <f ca="1">IF(AND($D62&lt;&gt;"",#REF!&lt;&gt;"Fechado",$F62&gt;=0,$F62&lt;=5,$J62=1),1,0)</f>
        <v>#REF!</v>
      </c>
      <c r="L62" s="17" t="e">
        <f ca="1">IF(AND($D62&lt;&gt;"",#REF!&lt;&gt;"Fechado",$F62&gt;=6,$F62&lt;=8,$J62=1),1,0)</f>
        <v>#REF!</v>
      </c>
      <c r="M62" s="17" t="e">
        <f ca="1">IF(AND($D62&lt;&gt;"",#REF!&lt;&gt;"Fechado",$F62=9,$J62=1),1,0)</f>
        <v>#REF!</v>
      </c>
      <c r="N62" s="17" t="e">
        <f ca="1">IF(AND($D62&lt;&gt;"",#REF!&lt;&gt;"Fechado",$F62=10,$J62=1),1,0)</f>
        <v>#REF!</v>
      </c>
      <c r="O62" s="17" t="e">
        <f ca="1">IF(AND($D62&lt;&gt;"",#REF!&lt;&gt;"Fechado",$F62&gt;10,$J62=1),1,0)</f>
        <v>#REF!</v>
      </c>
    </row>
    <row r="63" spans="2:15" ht="14.4" x14ac:dyDescent="0.3">
      <c r="B63" s="5"/>
      <c r="C63" s="6"/>
      <c r="D63" s="7"/>
      <c r="E63" s="7"/>
      <c r="F63" s="1" t="str">
        <f t="shared" ca="1" si="1"/>
        <v/>
      </c>
      <c r="G63" s="27" t="str">
        <f t="shared" ca="1" si="3"/>
        <v/>
      </c>
      <c r="H63" s="10"/>
      <c r="J63" s="17">
        <f t="shared" ca="1" si="2"/>
        <v>0</v>
      </c>
      <c r="K63" s="17" t="e">
        <f ca="1">IF(AND($D63&lt;&gt;"",#REF!&lt;&gt;"Fechado",$F63&gt;=0,$F63&lt;=5,$J63=1),1,0)</f>
        <v>#REF!</v>
      </c>
      <c r="L63" s="17" t="e">
        <f ca="1">IF(AND($D63&lt;&gt;"",#REF!&lt;&gt;"Fechado",$F63&gt;=6,$F63&lt;=8,$J63=1),1,0)</f>
        <v>#REF!</v>
      </c>
      <c r="M63" s="17" t="e">
        <f ca="1">IF(AND($D63&lt;&gt;"",#REF!&lt;&gt;"Fechado",$F63=9,$J63=1),1,0)</f>
        <v>#REF!</v>
      </c>
      <c r="N63" s="17" t="e">
        <f ca="1">IF(AND($D63&lt;&gt;"",#REF!&lt;&gt;"Fechado",$F63=10,$J63=1),1,0)</f>
        <v>#REF!</v>
      </c>
      <c r="O63" s="17" t="e">
        <f ca="1">IF(AND($D63&lt;&gt;"",#REF!&lt;&gt;"Fechado",$F63&gt;10,$J63=1),1,0)</f>
        <v>#REF!</v>
      </c>
    </row>
    <row r="64" spans="2:15" ht="14.4" x14ac:dyDescent="0.3">
      <c r="B64" s="5"/>
      <c r="C64" s="6"/>
      <c r="D64" s="7"/>
      <c r="E64" s="7"/>
      <c r="F64" s="1" t="str">
        <f t="shared" ca="1" si="1"/>
        <v/>
      </c>
      <c r="G64" s="27" t="str">
        <f t="shared" ca="1" si="3"/>
        <v/>
      </c>
      <c r="H64" s="10"/>
      <c r="J64" s="17">
        <f t="shared" ca="1" si="2"/>
        <v>0</v>
      </c>
      <c r="K64" s="17" t="e">
        <f ca="1">IF(AND($D64&lt;&gt;"",#REF!&lt;&gt;"Fechado",$F64&gt;=0,$F64&lt;=5,$J64=1),1,0)</f>
        <v>#REF!</v>
      </c>
      <c r="L64" s="17" t="e">
        <f ca="1">IF(AND($D64&lt;&gt;"",#REF!&lt;&gt;"Fechado",$F64&gt;=6,$F64&lt;=8,$J64=1),1,0)</f>
        <v>#REF!</v>
      </c>
      <c r="M64" s="17" t="e">
        <f ca="1">IF(AND($D64&lt;&gt;"",#REF!&lt;&gt;"Fechado",$F64=9,$J64=1),1,0)</f>
        <v>#REF!</v>
      </c>
      <c r="N64" s="17" t="e">
        <f ca="1">IF(AND($D64&lt;&gt;"",#REF!&lt;&gt;"Fechado",$F64=10,$J64=1),1,0)</f>
        <v>#REF!</v>
      </c>
      <c r="O64" s="17" t="e">
        <f ca="1">IF(AND($D64&lt;&gt;"",#REF!&lt;&gt;"Fechado",$F64&gt;10,$J64=1),1,0)</f>
        <v>#REF!</v>
      </c>
    </row>
    <row r="65" spans="2:15" ht="14.4" x14ac:dyDescent="0.3">
      <c r="B65" s="5"/>
      <c r="C65" s="6"/>
      <c r="D65" s="7"/>
      <c r="E65" s="7"/>
      <c r="F65" s="1" t="str">
        <f t="shared" ca="1" si="1"/>
        <v/>
      </c>
      <c r="G65" s="27" t="str">
        <f t="shared" ca="1" si="3"/>
        <v/>
      </c>
      <c r="H65" s="10"/>
      <c r="J65" s="17">
        <f t="shared" ca="1" si="2"/>
        <v>0</v>
      </c>
      <c r="K65" s="17" t="e">
        <f ca="1">IF(AND($D65&lt;&gt;"",#REF!&lt;&gt;"Fechado",$F65&gt;=0,$F65&lt;=5,$J65=1),1,0)</f>
        <v>#REF!</v>
      </c>
      <c r="L65" s="17" t="e">
        <f ca="1">IF(AND($D65&lt;&gt;"",#REF!&lt;&gt;"Fechado",$F65&gt;=6,$F65&lt;=8,$J65=1),1,0)</f>
        <v>#REF!</v>
      </c>
      <c r="M65" s="17" t="e">
        <f ca="1">IF(AND($D65&lt;&gt;"",#REF!&lt;&gt;"Fechado",$F65=9,$J65=1),1,0)</f>
        <v>#REF!</v>
      </c>
      <c r="N65" s="17" t="e">
        <f ca="1">IF(AND($D65&lt;&gt;"",#REF!&lt;&gt;"Fechado",$F65=10,$J65=1),1,0)</f>
        <v>#REF!</v>
      </c>
      <c r="O65" s="17" t="e">
        <f ca="1">IF(AND($D65&lt;&gt;"",#REF!&lt;&gt;"Fechado",$F65&gt;10,$J65=1),1,0)</f>
        <v>#REF!</v>
      </c>
    </row>
    <row r="66" spans="2:15" ht="14.4" x14ac:dyDescent="0.3">
      <c r="B66" s="5"/>
      <c r="C66" s="6"/>
      <c r="D66" s="7"/>
      <c r="E66" s="7"/>
      <c r="F66" s="1" t="str">
        <f t="shared" ca="1" si="1"/>
        <v/>
      </c>
      <c r="G66" s="27" t="str">
        <f t="shared" ca="1" si="3"/>
        <v/>
      </c>
      <c r="H66" s="10"/>
      <c r="J66" s="17">
        <f t="shared" ca="1" si="2"/>
        <v>0</v>
      </c>
      <c r="K66" s="17" t="e">
        <f ca="1">IF(AND($D66&lt;&gt;"",#REF!&lt;&gt;"Fechado",$F66&gt;=0,$F66&lt;=5,$J66=1),1,0)</f>
        <v>#REF!</v>
      </c>
      <c r="L66" s="17" t="e">
        <f ca="1">IF(AND($D66&lt;&gt;"",#REF!&lt;&gt;"Fechado",$F66&gt;=6,$F66&lt;=8,$J66=1),1,0)</f>
        <v>#REF!</v>
      </c>
      <c r="M66" s="17" t="e">
        <f ca="1">IF(AND($D66&lt;&gt;"",#REF!&lt;&gt;"Fechado",$F66=9,$J66=1),1,0)</f>
        <v>#REF!</v>
      </c>
      <c r="N66" s="17" t="e">
        <f ca="1">IF(AND($D66&lt;&gt;"",#REF!&lt;&gt;"Fechado",$F66=10,$J66=1),1,0)</f>
        <v>#REF!</v>
      </c>
      <c r="O66" s="17" t="e">
        <f ca="1">IF(AND($D66&lt;&gt;"",#REF!&lt;&gt;"Fechado",$F66&gt;10,$J66=1),1,0)</f>
        <v>#REF!</v>
      </c>
    </row>
    <row r="67" spans="2:15" ht="14.4" x14ac:dyDescent="0.3">
      <c r="B67" s="5"/>
      <c r="C67" s="6"/>
      <c r="D67" s="7"/>
      <c r="E67" s="7"/>
      <c r="F67" s="1" t="str">
        <f t="shared" ca="1" si="1"/>
        <v/>
      </c>
      <c r="G67" s="27" t="str">
        <f t="shared" ca="1" si="3"/>
        <v/>
      </c>
      <c r="H67" s="10"/>
      <c r="J67" s="17">
        <f t="shared" ca="1" si="2"/>
        <v>0</v>
      </c>
      <c r="K67" s="17" t="e">
        <f ca="1">IF(AND($D67&lt;&gt;"",#REF!&lt;&gt;"Fechado",$F67&gt;=0,$F67&lt;=5,$J67=1),1,0)</f>
        <v>#REF!</v>
      </c>
      <c r="L67" s="17" t="e">
        <f ca="1">IF(AND($D67&lt;&gt;"",#REF!&lt;&gt;"Fechado",$F67&gt;=6,$F67&lt;=8,$J67=1),1,0)</f>
        <v>#REF!</v>
      </c>
      <c r="M67" s="17" t="e">
        <f ca="1">IF(AND($D67&lt;&gt;"",#REF!&lt;&gt;"Fechado",$F67=9,$J67=1),1,0)</f>
        <v>#REF!</v>
      </c>
      <c r="N67" s="17" t="e">
        <f ca="1">IF(AND($D67&lt;&gt;"",#REF!&lt;&gt;"Fechado",$F67=10,$J67=1),1,0)</f>
        <v>#REF!</v>
      </c>
      <c r="O67" s="17" t="e">
        <f ca="1">IF(AND($D67&lt;&gt;"",#REF!&lt;&gt;"Fechado",$F67&gt;10,$J67=1),1,0)</f>
        <v>#REF!</v>
      </c>
    </row>
    <row r="68" spans="2:15" ht="14.4" x14ac:dyDescent="0.3">
      <c r="B68" s="5"/>
      <c r="C68" s="6"/>
      <c r="D68" s="7"/>
      <c r="E68" s="7"/>
      <c r="F68" s="1" t="str">
        <f t="shared" ca="1" si="1"/>
        <v/>
      </c>
      <c r="G68" s="27" t="str">
        <f t="shared" ca="1" si="3"/>
        <v/>
      </c>
      <c r="H68" s="10"/>
      <c r="J68" s="17">
        <f t="shared" ca="1" si="2"/>
        <v>0</v>
      </c>
      <c r="K68" s="17" t="e">
        <f ca="1">IF(AND($D68&lt;&gt;"",#REF!&lt;&gt;"Fechado",$F68&gt;=0,$F68&lt;=5,$J68=1),1,0)</f>
        <v>#REF!</v>
      </c>
      <c r="L68" s="17" t="e">
        <f ca="1">IF(AND($D68&lt;&gt;"",#REF!&lt;&gt;"Fechado",$F68&gt;=6,$F68&lt;=8,$J68=1),1,0)</f>
        <v>#REF!</v>
      </c>
      <c r="M68" s="17" t="e">
        <f ca="1">IF(AND($D68&lt;&gt;"",#REF!&lt;&gt;"Fechado",$F68=9,$J68=1),1,0)</f>
        <v>#REF!</v>
      </c>
      <c r="N68" s="17" t="e">
        <f ca="1">IF(AND($D68&lt;&gt;"",#REF!&lt;&gt;"Fechado",$F68=10,$J68=1),1,0)</f>
        <v>#REF!</v>
      </c>
      <c r="O68" s="17" t="e">
        <f ca="1">IF(AND($D68&lt;&gt;"",#REF!&lt;&gt;"Fechado",$F68&gt;10,$J68=1),1,0)</f>
        <v>#REF!</v>
      </c>
    </row>
    <row r="69" spans="2:15" ht="14.4" x14ac:dyDescent="0.3">
      <c r="B69" s="5"/>
      <c r="C69" s="6"/>
      <c r="D69" s="7"/>
      <c r="E69" s="7"/>
      <c r="F69" s="1" t="str">
        <f t="shared" ca="1" si="1"/>
        <v/>
      </c>
      <c r="G69" s="27" t="str">
        <f t="shared" ca="1" si="3"/>
        <v/>
      </c>
      <c r="H69" s="10"/>
      <c r="J69" s="17">
        <f t="shared" ca="1" si="2"/>
        <v>0</v>
      </c>
      <c r="K69" s="17" t="e">
        <f ca="1">IF(AND($D69&lt;&gt;"",#REF!&lt;&gt;"Fechado",$F69&gt;=0,$F69&lt;=5,$J69=1),1,0)</f>
        <v>#REF!</v>
      </c>
      <c r="L69" s="17" t="e">
        <f ca="1">IF(AND($D69&lt;&gt;"",#REF!&lt;&gt;"Fechado",$F69&gt;=6,$F69&lt;=8,$J69=1),1,0)</f>
        <v>#REF!</v>
      </c>
      <c r="M69" s="17" t="e">
        <f ca="1">IF(AND($D69&lt;&gt;"",#REF!&lt;&gt;"Fechado",$F69=9,$J69=1),1,0)</f>
        <v>#REF!</v>
      </c>
      <c r="N69" s="17" t="e">
        <f ca="1">IF(AND($D69&lt;&gt;"",#REF!&lt;&gt;"Fechado",$F69=10,$J69=1),1,0)</f>
        <v>#REF!</v>
      </c>
      <c r="O69" s="17" t="e">
        <f ca="1">IF(AND($D69&lt;&gt;"",#REF!&lt;&gt;"Fechado",$F69&gt;10,$J69=1),1,0)</f>
        <v>#REF!</v>
      </c>
    </row>
    <row r="70" spans="2:15" ht="14.4" x14ac:dyDescent="0.3">
      <c r="B70" s="5"/>
      <c r="C70" s="6"/>
      <c r="D70" s="7"/>
      <c r="E70" s="7"/>
      <c r="F70" s="1" t="str">
        <f t="shared" ca="1" si="1"/>
        <v/>
      </c>
      <c r="G70" s="27" t="str">
        <f t="shared" ref="G70:G133" ca="1" si="4">IF(AND($D70&lt;&gt;"", ISNUMBER($D70)), IF(AND(IF(AND($E70&lt;&gt;"", ISNUMBER($E70)), $E70-$D70, TODAY()-$D70)&gt;=0, IF(AND($E70&lt;&gt;"", ISNUMBER($E70)), $E70-$D70, TODAY()-$D70)&lt;=5), "Dentro do prazo", IF(AND(IF(AND($E70&lt;&gt;"", ISNUMBER($E70)), $E70-$D70, TODAY()-$D70)&gt;=6, IF(AND($E70&lt;&gt;"", ISNUMBER($E70)), $E70-$D70, TODAY()-$D70)&lt;=8), "Atenção", IF(IF(AND($E70&lt;&gt;"", ISNUMBER($E70)), $E70-$D70, TODAY()-$D70)=9, "Vence hoje", IF(IF(AND($E70&lt;&gt;"", ISNUMBER($E70)), $E70-$D70, TODAY()-$D70)&gt;=10, "Vencido","")))), "")</f>
        <v/>
      </c>
      <c r="H70" s="10"/>
      <c r="J70" s="17">
        <f t="shared" ca="1" si="2"/>
        <v>0</v>
      </c>
      <c r="K70" s="17" t="e">
        <f ca="1">IF(AND($D70&lt;&gt;"",#REF!&lt;&gt;"Fechado",$F70&gt;=0,$F70&lt;=5,$J70=1),1,0)</f>
        <v>#REF!</v>
      </c>
      <c r="L70" s="17" t="e">
        <f ca="1">IF(AND($D70&lt;&gt;"",#REF!&lt;&gt;"Fechado",$F70&gt;=6,$F70&lt;=8,$J70=1),1,0)</f>
        <v>#REF!</v>
      </c>
      <c r="M70" s="17" t="e">
        <f ca="1">IF(AND($D70&lt;&gt;"",#REF!&lt;&gt;"Fechado",$F70=9,$J70=1),1,0)</f>
        <v>#REF!</v>
      </c>
      <c r="N70" s="17" t="e">
        <f ca="1">IF(AND($D70&lt;&gt;"",#REF!&lt;&gt;"Fechado",$F70=10,$J70=1),1,0)</f>
        <v>#REF!</v>
      </c>
      <c r="O70" s="17" t="e">
        <f ca="1">IF(AND($D70&lt;&gt;"",#REF!&lt;&gt;"Fechado",$F70&gt;10,$J70=1),1,0)</f>
        <v>#REF!</v>
      </c>
    </row>
    <row r="71" spans="2:15" ht="14.4" x14ac:dyDescent="0.3">
      <c r="B71" s="5"/>
      <c r="C71" s="6"/>
      <c r="D71" s="7"/>
      <c r="E71" s="7"/>
      <c r="F71" s="1" t="str">
        <f t="shared" ref="F71:F84" ca="1" si="5">IF(AND($D71&lt;&gt;"", ISNUMBER($D71)), IF(AND($E71&lt;&gt;"", ISNUMBER($E71)), $E71-$D71, TODAY()-$D71), "")</f>
        <v/>
      </c>
      <c r="G71" s="27" t="str">
        <f t="shared" ca="1" si="4"/>
        <v/>
      </c>
      <c r="H71" s="10"/>
      <c r="J71" s="17">
        <f t="shared" ca="1" si="2"/>
        <v>0</v>
      </c>
      <c r="K71" s="17" t="e">
        <f ca="1">IF(AND($D71&lt;&gt;"",#REF!&lt;&gt;"Fechado",$F71&gt;=0,$F71&lt;=5,$J71=1),1,0)</f>
        <v>#REF!</v>
      </c>
      <c r="L71" s="17" t="e">
        <f ca="1">IF(AND($D71&lt;&gt;"",#REF!&lt;&gt;"Fechado",$F71&gt;=6,$F71&lt;=8,$J71=1),1,0)</f>
        <v>#REF!</v>
      </c>
      <c r="M71" s="17" t="e">
        <f ca="1">IF(AND($D71&lt;&gt;"",#REF!&lt;&gt;"Fechado",$F71=9,$J71=1),1,0)</f>
        <v>#REF!</v>
      </c>
      <c r="N71" s="17" t="e">
        <f ca="1">IF(AND($D71&lt;&gt;"",#REF!&lt;&gt;"Fechado",$F71=10,$J71=1),1,0)</f>
        <v>#REF!</v>
      </c>
      <c r="O71" s="17" t="e">
        <f ca="1">IF(AND($D71&lt;&gt;"",#REF!&lt;&gt;"Fechado",$F71&gt;10,$J71=1),1,0)</f>
        <v>#REF!</v>
      </c>
    </row>
    <row r="72" spans="2:15" ht="14.4" x14ac:dyDescent="0.3">
      <c r="B72" s="5"/>
      <c r="C72" s="6"/>
      <c r="D72" s="7"/>
      <c r="E72" s="7"/>
      <c r="F72" s="1" t="str">
        <f t="shared" ca="1" si="5"/>
        <v/>
      </c>
      <c r="G72" s="27" t="str">
        <f t="shared" ca="1" si="4"/>
        <v/>
      </c>
      <c r="H72" s="10"/>
      <c r="J72" s="17">
        <f t="shared" ca="1" si="2"/>
        <v>0</v>
      </c>
      <c r="K72" s="17" t="e">
        <f ca="1">IF(AND($D72&lt;&gt;"",#REF!&lt;&gt;"Fechado",$F72&gt;=0,$F72&lt;=5,$J72=1),1,0)</f>
        <v>#REF!</v>
      </c>
      <c r="L72" s="17" t="e">
        <f ca="1">IF(AND($D72&lt;&gt;"",#REF!&lt;&gt;"Fechado",$F72&gt;=6,$F72&lt;=8,$J72=1),1,0)</f>
        <v>#REF!</v>
      </c>
      <c r="M72" s="17" t="e">
        <f ca="1">IF(AND($D72&lt;&gt;"",#REF!&lt;&gt;"Fechado",$F72=9,$J72=1),1,0)</f>
        <v>#REF!</v>
      </c>
      <c r="N72" s="17" t="e">
        <f ca="1">IF(AND($D72&lt;&gt;"",#REF!&lt;&gt;"Fechado",$F72=10,$J72=1),1,0)</f>
        <v>#REF!</v>
      </c>
      <c r="O72" s="17" t="e">
        <f ca="1">IF(AND($D72&lt;&gt;"",#REF!&lt;&gt;"Fechado",$F72&gt;10,$J72=1),1,0)</f>
        <v>#REF!</v>
      </c>
    </row>
    <row r="73" spans="2:15" ht="14.4" x14ac:dyDescent="0.3">
      <c r="B73" s="5"/>
      <c r="C73" s="6"/>
      <c r="D73" s="7"/>
      <c r="E73" s="7"/>
      <c r="F73" s="1" t="str">
        <f t="shared" ca="1" si="5"/>
        <v/>
      </c>
      <c r="G73" s="27" t="str">
        <f t="shared" ca="1" si="4"/>
        <v/>
      </c>
      <c r="H73" s="10"/>
      <c r="J73" s="17">
        <f t="shared" ca="1" si="2"/>
        <v>0</v>
      </c>
      <c r="K73" s="17" t="e">
        <f ca="1">IF(AND($D73&lt;&gt;"",#REF!&lt;&gt;"Fechado",$F73&gt;=0,$F73&lt;=5,$J73=1),1,0)</f>
        <v>#REF!</v>
      </c>
      <c r="L73" s="17" t="e">
        <f ca="1">IF(AND($D73&lt;&gt;"",#REF!&lt;&gt;"Fechado",$F73&gt;=6,$F73&lt;=8,$J73=1),1,0)</f>
        <v>#REF!</v>
      </c>
      <c r="M73" s="17" t="e">
        <f ca="1">IF(AND($D73&lt;&gt;"",#REF!&lt;&gt;"Fechado",$F73=9,$J73=1),1,0)</f>
        <v>#REF!</v>
      </c>
      <c r="N73" s="17" t="e">
        <f ca="1">IF(AND($D73&lt;&gt;"",#REF!&lt;&gt;"Fechado",$F73=10,$J73=1),1,0)</f>
        <v>#REF!</v>
      </c>
      <c r="O73" s="17" t="e">
        <f ca="1">IF(AND($D73&lt;&gt;"",#REF!&lt;&gt;"Fechado",$F73&gt;10,$J73=1),1,0)</f>
        <v>#REF!</v>
      </c>
    </row>
    <row r="74" spans="2:15" ht="14.4" x14ac:dyDescent="0.3">
      <c r="B74" s="5"/>
      <c r="C74" s="6"/>
      <c r="D74" s="7"/>
      <c r="E74" s="7"/>
      <c r="F74" s="1" t="str">
        <f t="shared" ca="1" si="5"/>
        <v/>
      </c>
      <c r="G74" s="27" t="str">
        <f t="shared" ca="1" si="4"/>
        <v/>
      </c>
      <c r="H74" s="10"/>
      <c r="J74" s="17">
        <f t="shared" ref="J74:J137" ca="1" si="6">SUBTOTAL(103, OFFSET($B$6, ROW()-6, 0))</f>
        <v>0</v>
      </c>
      <c r="K74" s="17" t="e">
        <f ca="1">IF(AND($D74&lt;&gt;"",#REF!&lt;&gt;"Fechado",$F74&gt;=0,$F74&lt;=5,$J74=1),1,0)</f>
        <v>#REF!</v>
      </c>
      <c r="L74" s="17" t="e">
        <f ca="1">IF(AND($D74&lt;&gt;"",#REF!&lt;&gt;"Fechado",$F74&gt;=6,$F74&lt;=8,$J74=1),1,0)</f>
        <v>#REF!</v>
      </c>
      <c r="M74" s="17" t="e">
        <f ca="1">IF(AND($D74&lt;&gt;"",#REF!&lt;&gt;"Fechado",$F74=9,$J74=1),1,0)</f>
        <v>#REF!</v>
      </c>
      <c r="N74" s="17" t="e">
        <f ca="1">IF(AND($D74&lt;&gt;"",#REF!&lt;&gt;"Fechado",$F74=10,$J74=1),1,0)</f>
        <v>#REF!</v>
      </c>
      <c r="O74" s="17" t="e">
        <f ca="1">IF(AND($D74&lt;&gt;"",#REF!&lt;&gt;"Fechado",$F74&gt;10,$J74=1),1,0)</f>
        <v>#REF!</v>
      </c>
    </row>
    <row r="75" spans="2:15" ht="14.4" x14ac:dyDescent="0.3">
      <c r="B75" s="5"/>
      <c r="C75" s="6"/>
      <c r="D75" s="7"/>
      <c r="E75" s="7"/>
      <c r="F75" s="1" t="str">
        <f t="shared" ca="1" si="5"/>
        <v/>
      </c>
      <c r="G75" s="27" t="str">
        <f t="shared" ca="1" si="4"/>
        <v/>
      </c>
      <c r="H75" s="10"/>
      <c r="J75" s="17">
        <f t="shared" ca="1" si="6"/>
        <v>0</v>
      </c>
      <c r="K75" s="17" t="e">
        <f ca="1">IF(AND($D75&lt;&gt;"",#REF!&lt;&gt;"Fechado",$F75&gt;=0,$F75&lt;=5,$J75=1),1,0)</f>
        <v>#REF!</v>
      </c>
      <c r="L75" s="17" t="e">
        <f ca="1">IF(AND($D75&lt;&gt;"",#REF!&lt;&gt;"Fechado",$F75&gt;=6,$F75&lt;=8,$J75=1),1,0)</f>
        <v>#REF!</v>
      </c>
      <c r="M75" s="17" t="e">
        <f ca="1">IF(AND($D75&lt;&gt;"",#REF!&lt;&gt;"Fechado",$F75=9,$J75=1),1,0)</f>
        <v>#REF!</v>
      </c>
      <c r="N75" s="17" t="e">
        <f ca="1">IF(AND($D75&lt;&gt;"",#REF!&lt;&gt;"Fechado",$F75=10,$J75=1),1,0)</f>
        <v>#REF!</v>
      </c>
      <c r="O75" s="17" t="e">
        <f ca="1">IF(AND($D75&lt;&gt;"",#REF!&lt;&gt;"Fechado",$F75&gt;10,$J75=1),1,0)</f>
        <v>#REF!</v>
      </c>
    </row>
    <row r="76" spans="2:15" ht="14.4" x14ac:dyDescent="0.3">
      <c r="B76" s="5"/>
      <c r="C76" s="6"/>
      <c r="D76" s="7"/>
      <c r="E76" s="7"/>
      <c r="F76" s="1" t="str">
        <f t="shared" ca="1" si="5"/>
        <v/>
      </c>
      <c r="G76" s="27" t="str">
        <f t="shared" ca="1" si="4"/>
        <v/>
      </c>
      <c r="H76" s="10"/>
      <c r="J76" s="17">
        <f t="shared" ca="1" si="6"/>
        <v>0</v>
      </c>
      <c r="K76" s="17" t="e">
        <f ca="1">IF(AND($D76&lt;&gt;"",#REF!&lt;&gt;"Fechado",$F76&gt;=0,$F76&lt;=5,$J76=1),1,0)</f>
        <v>#REF!</v>
      </c>
      <c r="L76" s="17" t="e">
        <f ca="1">IF(AND($D76&lt;&gt;"",#REF!&lt;&gt;"Fechado",$F76&gt;=6,$F76&lt;=8,$J76=1),1,0)</f>
        <v>#REF!</v>
      </c>
      <c r="M76" s="17" t="e">
        <f ca="1">IF(AND($D76&lt;&gt;"",#REF!&lt;&gt;"Fechado",$F76=9,$J76=1),1,0)</f>
        <v>#REF!</v>
      </c>
      <c r="N76" s="17" t="e">
        <f ca="1">IF(AND($D76&lt;&gt;"",#REF!&lt;&gt;"Fechado",$F76=10,$J76=1),1,0)</f>
        <v>#REF!</v>
      </c>
      <c r="O76" s="17" t="e">
        <f ca="1">IF(AND($D76&lt;&gt;"",#REF!&lt;&gt;"Fechado",$F76&gt;10,$J76=1),1,0)</f>
        <v>#REF!</v>
      </c>
    </row>
    <row r="77" spans="2:15" ht="14.4" x14ac:dyDescent="0.3">
      <c r="B77" s="5"/>
      <c r="C77" s="6"/>
      <c r="D77" s="7"/>
      <c r="E77" s="7"/>
      <c r="F77" s="1" t="str">
        <f t="shared" ca="1" si="5"/>
        <v/>
      </c>
      <c r="G77" s="27" t="str">
        <f t="shared" ca="1" si="4"/>
        <v/>
      </c>
      <c r="H77" s="10"/>
      <c r="J77" s="17">
        <f t="shared" ca="1" si="6"/>
        <v>0</v>
      </c>
      <c r="K77" s="17" t="e">
        <f ca="1">IF(AND($D77&lt;&gt;"",#REF!&lt;&gt;"Fechado",$F77&gt;=0,$F77&lt;=5,$J77=1),1,0)</f>
        <v>#REF!</v>
      </c>
      <c r="L77" s="17" t="e">
        <f ca="1">IF(AND($D77&lt;&gt;"",#REF!&lt;&gt;"Fechado",$F77&gt;=6,$F77&lt;=8,$J77=1),1,0)</f>
        <v>#REF!</v>
      </c>
      <c r="M77" s="17" t="e">
        <f ca="1">IF(AND($D77&lt;&gt;"",#REF!&lt;&gt;"Fechado",$F77=9,$J77=1),1,0)</f>
        <v>#REF!</v>
      </c>
      <c r="N77" s="17" t="e">
        <f ca="1">IF(AND($D77&lt;&gt;"",#REF!&lt;&gt;"Fechado",$F77=10,$J77=1),1,0)</f>
        <v>#REF!</v>
      </c>
      <c r="O77" s="17" t="e">
        <f ca="1">IF(AND($D77&lt;&gt;"",#REF!&lt;&gt;"Fechado",$F77&gt;10,$J77=1),1,0)</f>
        <v>#REF!</v>
      </c>
    </row>
    <row r="78" spans="2:15" ht="14.4" x14ac:dyDescent="0.3">
      <c r="B78" s="5"/>
      <c r="C78" s="6"/>
      <c r="D78" s="7"/>
      <c r="E78" s="7"/>
      <c r="F78" s="1" t="str">
        <f t="shared" ca="1" si="5"/>
        <v/>
      </c>
      <c r="G78" s="27" t="str">
        <f t="shared" ca="1" si="4"/>
        <v/>
      </c>
      <c r="H78" s="10"/>
      <c r="J78" s="17">
        <f t="shared" ca="1" si="6"/>
        <v>0</v>
      </c>
      <c r="K78" s="17" t="e">
        <f ca="1">IF(AND($D78&lt;&gt;"",#REF!&lt;&gt;"Fechado",$F78&gt;=0,$F78&lt;=5,$J78=1),1,0)</f>
        <v>#REF!</v>
      </c>
      <c r="L78" s="17" t="e">
        <f ca="1">IF(AND($D78&lt;&gt;"",#REF!&lt;&gt;"Fechado",$F78&gt;=6,$F78&lt;=8,$J78=1),1,0)</f>
        <v>#REF!</v>
      </c>
      <c r="M78" s="17" t="e">
        <f ca="1">IF(AND($D78&lt;&gt;"",#REF!&lt;&gt;"Fechado",$F78=9,$J78=1),1,0)</f>
        <v>#REF!</v>
      </c>
      <c r="N78" s="17" t="e">
        <f ca="1">IF(AND($D78&lt;&gt;"",#REF!&lt;&gt;"Fechado",$F78=10,$J78=1),1,0)</f>
        <v>#REF!</v>
      </c>
      <c r="O78" s="17" t="e">
        <f ca="1">IF(AND($D78&lt;&gt;"",#REF!&lt;&gt;"Fechado",$F78&gt;10,$J78=1),1,0)</f>
        <v>#REF!</v>
      </c>
    </row>
    <row r="79" spans="2:15" ht="14.4" x14ac:dyDescent="0.3">
      <c r="B79" s="5"/>
      <c r="C79" s="6"/>
      <c r="D79" s="7"/>
      <c r="E79" s="7"/>
      <c r="F79" s="1" t="str">
        <f t="shared" ca="1" si="5"/>
        <v/>
      </c>
      <c r="G79" s="27" t="str">
        <f t="shared" ca="1" si="4"/>
        <v/>
      </c>
      <c r="H79" s="10"/>
      <c r="J79" s="17">
        <f t="shared" ca="1" si="6"/>
        <v>0</v>
      </c>
      <c r="K79" s="17" t="e">
        <f ca="1">IF(AND($D79&lt;&gt;"",#REF!&lt;&gt;"Fechado",$F79&gt;=0,$F79&lt;=5,$J79=1),1,0)</f>
        <v>#REF!</v>
      </c>
      <c r="L79" s="17" t="e">
        <f ca="1">IF(AND($D79&lt;&gt;"",#REF!&lt;&gt;"Fechado",$F79&gt;=6,$F79&lt;=8,$J79=1),1,0)</f>
        <v>#REF!</v>
      </c>
      <c r="M79" s="17" t="e">
        <f ca="1">IF(AND($D79&lt;&gt;"",#REF!&lt;&gt;"Fechado",$F79=9,$J79=1),1,0)</f>
        <v>#REF!</v>
      </c>
      <c r="N79" s="17" t="e">
        <f ca="1">IF(AND($D79&lt;&gt;"",#REF!&lt;&gt;"Fechado",$F79=10,$J79=1),1,0)</f>
        <v>#REF!</v>
      </c>
      <c r="O79" s="17" t="e">
        <f ca="1">IF(AND($D79&lt;&gt;"",#REF!&lt;&gt;"Fechado",$F79&gt;10,$J79=1),1,0)</f>
        <v>#REF!</v>
      </c>
    </row>
    <row r="80" spans="2:15" ht="14.4" x14ac:dyDescent="0.3">
      <c r="B80" s="5"/>
      <c r="C80" s="6"/>
      <c r="D80" s="7"/>
      <c r="E80" s="7"/>
      <c r="F80" s="1" t="str">
        <f t="shared" ca="1" si="5"/>
        <v/>
      </c>
      <c r="G80" s="27" t="str">
        <f t="shared" ca="1" si="4"/>
        <v/>
      </c>
      <c r="H80" s="10"/>
      <c r="J80" s="17">
        <f t="shared" ca="1" si="6"/>
        <v>0</v>
      </c>
      <c r="K80" s="17" t="e">
        <f ca="1">IF(AND($D80&lt;&gt;"",#REF!&lt;&gt;"Fechado",$F80&gt;=0,$F80&lt;=5,$J80=1),1,0)</f>
        <v>#REF!</v>
      </c>
      <c r="L80" s="17" t="e">
        <f ca="1">IF(AND($D80&lt;&gt;"",#REF!&lt;&gt;"Fechado",$F80&gt;=6,$F80&lt;=8,$J80=1),1,0)</f>
        <v>#REF!</v>
      </c>
      <c r="M80" s="17" t="e">
        <f ca="1">IF(AND($D80&lt;&gt;"",#REF!&lt;&gt;"Fechado",$F80=9,$J80=1),1,0)</f>
        <v>#REF!</v>
      </c>
      <c r="N80" s="17" t="e">
        <f ca="1">IF(AND($D80&lt;&gt;"",#REF!&lt;&gt;"Fechado",$F80=10,$J80=1),1,0)</f>
        <v>#REF!</v>
      </c>
      <c r="O80" s="17" t="e">
        <f ca="1">IF(AND($D80&lt;&gt;"",#REF!&lt;&gt;"Fechado",$F80&gt;10,$J80=1),1,0)</f>
        <v>#REF!</v>
      </c>
    </row>
    <row r="81" spans="2:15" ht="14.4" x14ac:dyDescent="0.3">
      <c r="B81" s="5"/>
      <c r="C81" s="6"/>
      <c r="D81" s="7"/>
      <c r="E81" s="7"/>
      <c r="F81" s="1" t="str">
        <f t="shared" ca="1" si="5"/>
        <v/>
      </c>
      <c r="G81" s="27" t="str">
        <f t="shared" ca="1" si="4"/>
        <v/>
      </c>
      <c r="H81" s="10"/>
      <c r="J81" s="17">
        <f t="shared" ca="1" si="6"/>
        <v>0</v>
      </c>
      <c r="K81" s="17" t="e">
        <f ca="1">IF(AND($D81&lt;&gt;"",#REF!&lt;&gt;"Fechado",$F81&gt;=0,$F81&lt;=5,$J81=1),1,0)</f>
        <v>#REF!</v>
      </c>
      <c r="L81" s="17" t="e">
        <f ca="1">IF(AND($D81&lt;&gt;"",#REF!&lt;&gt;"Fechado",$F81&gt;=6,$F81&lt;=8,$J81=1),1,0)</f>
        <v>#REF!</v>
      </c>
      <c r="M81" s="17" t="e">
        <f ca="1">IF(AND($D81&lt;&gt;"",#REF!&lt;&gt;"Fechado",$F81=9,$J81=1),1,0)</f>
        <v>#REF!</v>
      </c>
      <c r="N81" s="17" t="e">
        <f ca="1">IF(AND($D81&lt;&gt;"",#REF!&lt;&gt;"Fechado",$F81=10,$J81=1),1,0)</f>
        <v>#REF!</v>
      </c>
      <c r="O81" s="17" t="e">
        <f ca="1">IF(AND($D81&lt;&gt;"",#REF!&lt;&gt;"Fechado",$F81&gt;10,$J81=1),1,0)</f>
        <v>#REF!</v>
      </c>
    </row>
    <row r="82" spans="2:15" ht="14.4" x14ac:dyDescent="0.3">
      <c r="B82" s="5"/>
      <c r="C82" s="6"/>
      <c r="D82" s="7"/>
      <c r="E82" s="7"/>
      <c r="F82" s="1" t="str">
        <f t="shared" ca="1" si="5"/>
        <v/>
      </c>
      <c r="G82" s="27" t="str">
        <f t="shared" ca="1" si="4"/>
        <v/>
      </c>
      <c r="H82" s="10"/>
      <c r="J82" s="17">
        <f t="shared" ca="1" si="6"/>
        <v>0</v>
      </c>
      <c r="K82" s="17" t="e">
        <f ca="1">IF(AND($D82&lt;&gt;"",#REF!&lt;&gt;"Fechado",$F82&gt;=0,$F82&lt;=5,$J82=1),1,0)</f>
        <v>#REF!</v>
      </c>
      <c r="L82" s="17" t="e">
        <f ca="1">IF(AND($D82&lt;&gt;"",#REF!&lt;&gt;"Fechado",$F82&gt;=6,$F82&lt;=8,$J82=1),1,0)</f>
        <v>#REF!</v>
      </c>
      <c r="M82" s="17" t="e">
        <f ca="1">IF(AND($D82&lt;&gt;"",#REF!&lt;&gt;"Fechado",$F82=9,$J82=1),1,0)</f>
        <v>#REF!</v>
      </c>
      <c r="N82" s="17" t="e">
        <f ca="1">IF(AND($D82&lt;&gt;"",#REF!&lt;&gt;"Fechado",$F82=10,$J82=1),1,0)</f>
        <v>#REF!</v>
      </c>
      <c r="O82" s="17" t="e">
        <f ca="1">IF(AND($D82&lt;&gt;"",#REF!&lt;&gt;"Fechado",$F82&gt;10,$J82=1),1,0)</f>
        <v>#REF!</v>
      </c>
    </row>
    <row r="83" spans="2:15" ht="14.4" x14ac:dyDescent="0.3">
      <c r="B83" s="5"/>
      <c r="C83" s="6"/>
      <c r="D83" s="7"/>
      <c r="E83" s="7"/>
      <c r="F83" s="1" t="str">
        <f t="shared" ca="1" si="5"/>
        <v/>
      </c>
      <c r="G83" s="27" t="str">
        <f t="shared" ca="1" si="4"/>
        <v/>
      </c>
      <c r="H83" s="10"/>
      <c r="J83" s="17">
        <f t="shared" ca="1" si="6"/>
        <v>0</v>
      </c>
      <c r="K83" s="17" t="e">
        <f ca="1">IF(AND($D83&lt;&gt;"",#REF!&lt;&gt;"Fechado",$F83&gt;=0,$F83&lt;=5,$J83=1),1,0)</f>
        <v>#REF!</v>
      </c>
      <c r="L83" s="17" t="e">
        <f ca="1">IF(AND($D83&lt;&gt;"",#REF!&lt;&gt;"Fechado",$F83&gt;=6,$F83&lt;=8,$J83=1),1,0)</f>
        <v>#REF!</v>
      </c>
      <c r="M83" s="17" t="e">
        <f ca="1">IF(AND($D83&lt;&gt;"",#REF!&lt;&gt;"Fechado",$F83=9,$J83=1),1,0)</f>
        <v>#REF!</v>
      </c>
      <c r="N83" s="17" t="e">
        <f ca="1">IF(AND($D83&lt;&gt;"",#REF!&lt;&gt;"Fechado",$F83=10,$J83=1),1,0)</f>
        <v>#REF!</v>
      </c>
      <c r="O83" s="17" t="e">
        <f ca="1">IF(AND($D83&lt;&gt;"",#REF!&lt;&gt;"Fechado",$F83&gt;10,$J83=1),1,0)</f>
        <v>#REF!</v>
      </c>
    </row>
    <row r="84" spans="2:15" ht="14.4" x14ac:dyDescent="0.3">
      <c r="B84" s="5"/>
      <c r="C84" s="6"/>
      <c r="D84" s="7"/>
      <c r="E84" s="7"/>
      <c r="F84" s="1" t="str">
        <f t="shared" ca="1" si="5"/>
        <v/>
      </c>
      <c r="G84" s="27" t="str">
        <f t="shared" ca="1" si="4"/>
        <v/>
      </c>
      <c r="H84" s="10"/>
      <c r="J84" s="17">
        <f t="shared" ca="1" si="6"/>
        <v>0</v>
      </c>
      <c r="K84" s="17" t="e">
        <f ca="1">IF(AND($D84&lt;&gt;"",#REF!&lt;&gt;"Fechado",$F84&gt;=0,$F84&lt;=5,$J84=1),1,0)</f>
        <v>#REF!</v>
      </c>
      <c r="L84" s="17" t="e">
        <f ca="1">IF(AND($D84&lt;&gt;"",#REF!&lt;&gt;"Fechado",$F84&gt;=6,$F84&lt;=8,$J84=1),1,0)</f>
        <v>#REF!</v>
      </c>
      <c r="M84" s="17" t="e">
        <f ca="1">IF(AND($D84&lt;&gt;"",#REF!&lt;&gt;"Fechado",$F84=9,$J84=1),1,0)</f>
        <v>#REF!</v>
      </c>
      <c r="N84" s="17" t="e">
        <f ca="1">IF(AND($D84&lt;&gt;"",#REF!&lt;&gt;"Fechado",$F84=10,$J84=1),1,0)</f>
        <v>#REF!</v>
      </c>
      <c r="O84" s="17" t="e">
        <f ca="1">IF(AND($D84&lt;&gt;"",#REF!&lt;&gt;"Fechado",$F84&gt;10,$J84=1),1,0)</f>
        <v>#REF!</v>
      </c>
    </row>
    <row r="85" spans="2:15" ht="14.4" x14ac:dyDescent="0.3">
      <c r="B85" s="5"/>
      <c r="C85" s="6"/>
      <c r="D85" s="7"/>
      <c r="E85" s="7"/>
      <c r="F85" s="1" t="str">
        <f t="shared" ref="F85:F148" ca="1" si="7">IF(AND($D85&lt;&gt;"", ISNUMBER($D85)), IF(AND($E85&lt;&gt;"", ISNUMBER($E85)), $E85-$D85, TODAY()-$D85), "")</f>
        <v/>
      </c>
      <c r="G85" s="27" t="str">
        <f t="shared" ca="1" si="4"/>
        <v/>
      </c>
      <c r="H85" s="10"/>
      <c r="J85" s="17">
        <f t="shared" ca="1" si="6"/>
        <v>0</v>
      </c>
      <c r="K85" s="17" t="e">
        <f ca="1">IF(AND($D85&lt;&gt;"",#REF!&lt;&gt;"Fechado",$F85&gt;=0,$F85&lt;=5,$J85=1),1,0)</f>
        <v>#REF!</v>
      </c>
      <c r="L85" s="17" t="e">
        <f ca="1">IF(AND($D85&lt;&gt;"",#REF!&lt;&gt;"Fechado",$F85&gt;=6,$F85&lt;=8,$J85=1),1,0)</f>
        <v>#REF!</v>
      </c>
      <c r="M85" s="17" t="e">
        <f ca="1">IF(AND($D85&lt;&gt;"",#REF!&lt;&gt;"Fechado",$F85=9,$J85=1),1,0)</f>
        <v>#REF!</v>
      </c>
      <c r="N85" s="17" t="e">
        <f ca="1">IF(AND($D85&lt;&gt;"",#REF!&lt;&gt;"Fechado",$F85=10,$J85=1),1,0)</f>
        <v>#REF!</v>
      </c>
      <c r="O85" s="17" t="e">
        <f ca="1">IF(AND($D85&lt;&gt;"",#REF!&lt;&gt;"Fechado",$F85&gt;10,$J85=1),1,0)</f>
        <v>#REF!</v>
      </c>
    </row>
    <row r="86" spans="2:15" ht="14.4" x14ac:dyDescent="0.3">
      <c r="B86" s="5"/>
      <c r="C86" s="6"/>
      <c r="D86" s="7"/>
      <c r="E86" s="7"/>
      <c r="F86" s="1" t="str">
        <f t="shared" ca="1" si="7"/>
        <v/>
      </c>
      <c r="G86" s="27" t="str">
        <f t="shared" ca="1" si="4"/>
        <v/>
      </c>
      <c r="H86" s="10"/>
      <c r="J86" s="17">
        <f t="shared" ca="1" si="6"/>
        <v>0</v>
      </c>
      <c r="K86" s="17" t="e">
        <f ca="1">IF(AND($D86&lt;&gt;"",#REF!&lt;&gt;"Fechado",$F86&gt;=0,$F86&lt;=5,$J86=1),1,0)</f>
        <v>#REF!</v>
      </c>
      <c r="L86" s="17" t="e">
        <f ca="1">IF(AND($D86&lt;&gt;"",#REF!&lt;&gt;"Fechado",$F86&gt;=6,$F86&lt;=8,$J86=1),1,0)</f>
        <v>#REF!</v>
      </c>
      <c r="M86" s="17" t="e">
        <f ca="1">IF(AND($D86&lt;&gt;"",#REF!&lt;&gt;"Fechado",$F86=9,$J86=1),1,0)</f>
        <v>#REF!</v>
      </c>
      <c r="N86" s="17" t="e">
        <f ca="1">IF(AND($D86&lt;&gt;"",#REF!&lt;&gt;"Fechado",$F86=10,$J86=1),1,0)</f>
        <v>#REF!</v>
      </c>
      <c r="O86" s="17" t="e">
        <f ca="1">IF(AND($D86&lt;&gt;"",#REF!&lt;&gt;"Fechado",$F86&gt;10,$J86=1),1,0)</f>
        <v>#REF!</v>
      </c>
    </row>
    <row r="87" spans="2:15" ht="14.4" x14ac:dyDescent="0.3">
      <c r="B87" s="5"/>
      <c r="C87" s="6"/>
      <c r="D87" s="7"/>
      <c r="E87" s="7"/>
      <c r="F87" s="1" t="str">
        <f t="shared" ca="1" si="7"/>
        <v/>
      </c>
      <c r="G87" s="27" t="str">
        <f t="shared" ca="1" si="4"/>
        <v/>
      </c>
      <c r="H87" s="10"/>
      <c r="J87" s="17">
        <f t="shared" ca="1" si="6"/>
        <v>0</v>
      </c>
      <c r="K87" s="17" t="e">
        <f ca="1">IF(AND($D87&lt;&gt;"",#REF!&lt;&gt;"Fechado",$F87&gt;=0,$F87&lt;=5,$J87=1),1,0)</f>
        <v>#REF!</v>
      </c>
      <c r="L87" s="17" t="e">
        <f ca="1">IF(AND($D87&lt;&gt;"",#REF!&lt;&gt;"Fechado",$F87&gt;=6,$F87&lt;=8,$J87=1),1,0)</f>
        <v>#REF!</v>
      </c>
      <c r="M87" s="17" t="e">
        <f ca="1">IF(AND($D87&lt;&gt;"",#REF!&lt;&gt;"Fechado",$F87=9,$J87=1),1,0)</f>
        <v>#REF!</v>
      </c>
      <c r="N87" s="17" t="e">
        <f ca="1">IF(AND($D87&lt;&gt;"",#REF!&lt;&gt;"Fechado",$F87=10,$J87=1),1,0)</f>
        <v>#REF!</v>
      </c>
      <c r="O87" s="17" t="e">
        <f ca="1">IF(AND($D87&lt;&gt;"",#REF!&lt;&gt;"Fechado",$F87&gt;10,$J87=1),1,0)</f>
        <v>#REF!</v>
      </c>
    </row>
    <row r="88" spans="2:15" ht="14.4" x14ac:dyDescent="0.3">
      <c r="B88" s="5"/>
      <c r="C88" s="6"/>
      <c r="D88" s="7"/>
      <c r="E88" s="7"/>
      <c r="F88" s="1" t="str">
        <f t="shared" ca="1" si="7"/>
        <v/>
      </c>
      <c r="G88" s="27" t="str">
        <f t="shared" ca="1" si="4"/>
        <v/>
      </c>
      <c r="H88" s="10"/>
      <c r="J88" s="17">
        <f t="shared" ca="1" si="6"/>
        <v>0</v>
      </c>
      <c r="K88" s="17" t="e">
        <f ca="1">IF(AND($D88&lt;&gt;"",#REF!&lt;&gt;"Fechado",$F88&gt;=0,$F88&lt;=5,$J88=1),1,0)</f>
        <v>#REF!</v>
      </c>
      <c r="L88" s="17" t="e">
        <f ca="1">IF(AND($D88&lt;&gt;"",#REF!&lt;&gt;"Fechado",$F88&gt;=6,$F88&lt;=8,$J88=1),1,0)</f>
        <v>#REF!</v>
      </c>
      <c r="M88" s="17" t="e">
        <f ca="1">IF(AND($D88&lt;&gt;"",#REF!&lt;&gt;"Fechado",$F88=9,$J88=1),1,0)</f>
        <v>#REF!</v>
      </c>
      <c r="N88" s="17" t="e">
        <f ca="1">IF(AND($D88&lt;&gt;"",#REF!&lt;&gt;"Fechado",$F88=10,$J88=1),1,0)</f>
        <v>#REF!</v>
      </c>
      <c r="O88" s="17" t="e">
        <f ca="1">IF(AND($D88&lt;&gt;"",#REF!&lt;&gt;"Fechado",$F88&gt;10,$J88=1),1,0)</f>
        <v>#REF!</v>
      </c>
    </row>
    <row r="89" spans="2:15" ht="14.4" x14ac:dyDescent="0.3">
      <c r="B89" s="5"/>
      <c r="C89" s="6"/>
      <c r="D89" s="7"/>
      <c r="E89" s="7"/>
      <c r="F89" s="1" t="str">
        <f t="shared" ca="1" si="7"/>
        <v/>
      </c>
      <c r="G89" s="27" t="str">
        <f t="shared" ca="1" si="4"/>
        <v/>
      </c>
      <c r="H89" s="10"/>
      <c r="J89" s="17">
        <f t="shared" ca="1" si="6"/>
        <v>0</v>
      </c>
      <c r="K89" s="17" t="e">
        <f ca="1">IF(AND($D89&lt;&gt;"",#REF!&lt;&gt;"Fechado",$F89&gt;=0,$F89&lt;=5,$J89=1),1,0)</f>
        <v>#REF!</v>
      </c>
      <c r="L89" s="17" t="e">
        <f ca="1">IF(AND($D89&lt;&gt;"",#REF!&lt;&gt;"Fechado",$F89&gt;=6,$F89&lt;=8,$J89=1),1,0)</f>
        <v>#REF!</v>
      </c>
      <c r="M89" s="17" t="e">
        <f ca="1">IF(AND($D89&lt;&gt;"",#REF!&lt;&gt;"Fechado",$F89=9,$J89=1),1,0)</f>
        <v>#REF!</v>
      </c>
      <c r="N89" s="17" t="e">
        <f ca="1">IF(AND($D89&lt;&gt;"",#REF!&lt;&gt;"Fechado",$F89=10,$J89=1),1,0)</f>
        <v>#REF!</v>
      </c>
      <c r="O89" s="17" t="e">
        <f ca="1">IF(AND($D89&lt;&gt;"",#REF!&lt;&gt;"Fechado",$F89&gt;10,$J89=1),1,0)</f>
        <v>#REF!</v>
      </c>
    </row>
    <row r="90" spans="2:15" ht="14.4" x14ac:dyDescent="0.3">
      <c r="B90" s="5"/>
      <c r="C90" s="6"/>
      <c r="D90" s="7"/>
      <c r="E90" s="7"/>
      <c r="F90" s="1" t="str">
        <f t="shared" ca="1" si="7"/>
        <v/>
      </c>
      <c r="G90" s="27" t="str">
        <f t="shared" ca="1" si="4"/>
        <v/>
      </c>
      <c r="H90" s="10"/>
      <c r="J90" s="17">
        <f t="shared" ca="1" si="6"/>
        <v>0</v>
      </c>
      <c r="K90" s="17" t="e">
        <f ca="1">IF(AND($D90&lt;&gt;"",#REF!&lt;&gt;"Fechado",$F90&gt;=0,$F90&lt;=5,$J90=1),1,0)</f>
        <v>#REF!</v>
      </c>
      <c r="L90" s="17" t="e">
        <f ca="1">IF(AND($D90&lt;&gt;"",#REF!&lt;&gt;"Fechado",$F90&gt;=6,$F90&lt;=8,$J90=1),1,0)</f>
        <v>#REF!</v>
      </c>
      <c r="M90" s="17" t="e">
        <f ca="1">IF(AND($D90&lt;&gt;"",#REF!&lt;&gt;"Fechado",$F90=9,$J90=1),1,0)</f>
        <v>#REF!</v>
      </c>
      <c r="N90" s="17" t="e">
        <f ca="1">IF(AND($D90&lt;&gt;"",#REF!&lt;&gt;"Fechado",$F90=10,$J90=1),1,0)</f>
        <v>#REF!</v>
      </c>
      <c r="O90" s="17" t="e">
        <f ca="1">IF(AND($D90&lt;&gt;"",#REF!&lt;&gt;"Fechado",$F90&gt;10,$J90=1),1,0)</f>
        <v>#REF!</v>
      </c>
    </row>
    <row r="91" spans="2:15" ht="14.4" x14ac:dyDescent="0.3">
      <c r="B91" s="5"/>
      <c r="C91" s="6"/>
      <c r="D91" s="7"/>
      <c r="E91" s="7"/>
      <c r="F91" s="1" t="str">
        <f t="shared" ca="1" si="7"/>
        <v/>
      </c>
      <c r="G91" s="27" t="str">
        <f t="shared" ca="1" si="4"/>
        <v/>
      </c>
      <c r="H91" s="10"/>
      <c r="J91" s="17">
        <f t="shared" ca="1" si="6"/>
        <v>0</v>
      </c>
      <c r="K91" s="17" t="e">
        <f ca="1">IF(AND($D91&lt;&gt;"",#REF!&lt;&gt;"Fechado",$F91&gt;=0,$F91&lt;=5,$J91=1),1,0)</f>
        <v>#REF!</v>
      </c>
      <c r="L91" s="17" t="e">
        <f ca="1">IF(AND($D91&lt;&gt;"",#REF!&lt;&gt;"Fechado",$F91&gt;=6,$F91&lt;=8,$J91=1),1,0)</f>
        <v>#REF!</v>
      </c>
      <c r="M91" s="17" t="e">
        <f ca="1">IF(AND($D91&lt;&gt;"",#REF!&lt;&gt;"Fechado",$F91=9,$J91=1),1,0)</f>
        <v>#REF!</v>
      </c>
      <c r="N91" s="17" t="e">
        <f ca="1">IF(AND($D91&lt;&gt;"",#REF!&lt;&gt;"Fechado",$F91=10,$J91=1),1,0)</f>
        <v>#REF!</v>
      </c>
      <c r="O91" s="17" t="e">
        <f ca="1">IF(AND($D91&lt;&gt;"",#REF!&lt;&gt;"Fechado",$F91&gt;10,$J91=1),1,0)</f>
        <v>#REF!</v>
      </c>
    </row>
    <row r="92" spans="2:15" ht="14.4" x14ac:dyDescent="0.3">
      <c r="B92" s="5"/>
      <c r="C92" s="6"/>
      <c r="D92" s="7"/>
      <c r="E92" s="7"/>
      <c r="F92" s="1" t="str">
        <f t="shared" ca="1" si="7"/>
        <v/>
      </c>
      <c r="G92" s="27" t="str">
        <f t="shared" ca="1" si="4"/>
        <v/>
      </c>
      <c r="H92" s="10"/>
      <c r="J92" s="17">
        <f t="shared" ca="1" si="6"/>
        <v>0</v>
      </c>
      <c r="K92" s="17" t="e">
        <f ca="1">IF(AND($D92&lt;&gt;"",#REF!&lt;&gt;"Fechado",$F92&gt;=0,$F92&lt;=5,$J92=1),1,0)</f>
        <v>#REF!</v>
      </c>
      <c r="L92" s="17" t="e">
        <f ca="1">IF(AND($D92&lt;&gt;"",#REF!&lt;&gt;"Fechado",$F92&gt;=6,$F92&lt;=8,$J92=1),1,0)</f>
        <v>#REF!</v>
      </c>
      <c r="M92" s="17" t="e">
        <f ca="1">IF(AND($D92&lt;&gt;"",#REF!&lt;&gt;"Fechado",$F92=9,$J92=1),1,0)</f>
        <v>#REF!</v>
      </c>
      <c r="N92" s="17" t="e">
        <f ca="1">IF(AND($D92&lt;&gt;"",#REF!&lt;&gt;"Fechado",$F92=10,$J92=1),1,0)</f>
        <v>#REF!</v>
      </c>
      <c r="O92" s="17" t="e">
        <f ca="1">IF(AND($D92&lt;&gt;"",#REF!&lt;&gt;"Fechado",$F92&gt;10,$J92=1),1,0)</f>
        <v>#REF!</v>
      </c>
    </row>
    <row r="93" spans="2:15" ht="14.4" x14ac:dyDescent="0.3">
      <c r="B93" s="5"/>
      <c r="C93" s="6"/>
      <c r="D93" s="7"/>
      <c r="E93" s="7"/>
      <c r="F93" s="1" t="str">
        <f t="shared" ca="1" si="7"/>
        <v/>
      </c>
      <c r="G93" s="27" t="str">
        <f t="shared" ca="1" si="4"/>
        <v/>
      </c>
      <c r="H93" s="10"/>
      <c r="J93" s="17">
        <f t="shared" ca="1" si="6"/>
        <v>0</v>
      </c>
      <c r="K93" s="17" t="e">
        <f ca="1">IF(AND($D93&lt;&gt;"",#REF!&lt;&gt;"Fechado",$F93&gt;=0,$F93&lt;=5,$J93=1),1,0)</f>
        <v>#REF!</v>
      </c>
      <c r="L93" s="17" t="e">
        <f ca="1">IF(AND($D93&lt;&gt;"",#REF!&lt;&gt;"Fechado",$F93&gt;=6,$F93&lt;=8,$J93=1),1,0)</f>
        <v>#REF!</v>
      </c>
      <c r="M93" s="17" t="e">
        <f ca="1">IF(AND($D93&lt;&gt;"",#REF!&lt;&gt;"Fechado",$F93=9,$J93=1),1,0)</f>
        <v>#REF!</v>
      </c>
      <c r="N93" s="17" t="e">
        <f ca="1">IF(AND($D93&lt;&gt;"",#REF!&lt;&gt;"Fechado",$F93=10,$J93=1),1,0)</f>
        <v>#REF!</v>
      </c>
      <c r="O93" s="17" t="e">
        <f ca="1">IF(AND($D93&lt;&gt;"",#REF!&lt;&gt;"Fechado",$F93&gt;10,$J93=1),1,0)</f>
        <v>#REF!</v>
      </c>
    </row>
    <row r="94" spans="2:15" ht="14.4" x14ac:dyDescent="0.3">
      <c r="B94" s="5"/>
      <c r="C94" s="6"/>
      <c r="D94" s="7"/>
      <c r="E94" s="7"/>
      <c r="F94" s="1" t="str">
        <f t="shared" ca="1" si="7"/>
        <v/>
      </c>
      <c r="G94" s="27" t="str">
        <f t="shared" ca="1" si="4"/>
        <v/>
      </c>
      <c r="H94" s="10"/>
      <c r="J94" s="17">
        <f t="shared" ca="1" si="6"/>
        <v>0</v>
      </c>
      <c r="K94" s="17" t="e">
        <f ca="1">IF(AND($D94&lt;&gt;"",#REF!&lt;&gt;"Fechado",$F94&gt;=0,$F94&lt;=5,$J94=1),1,0)</f>
        <v>#REF!</v>
      </c>
      <c r="L94" s="17" t="e">
        <f ca="1">IF(AND($D94&lt;&gt;"",#REF!&lt;&gt;"Fechado",$F94&gt;=6,$F94&lt;=8,$J94=1),1,0)</f>
        <v>#REF!</v>
      </c>
      <c r="M94" s="17" t="e">
        <f ca="1">IF(AND($D94&lt;&gt;"",#REF!&lt;&gt;"Fechado",$F94=9,$J94=1),1,0)</f>
        <v>#REF!</v>
      </c>
      <c r="N94" s="17" t="e">
        <f ca="1">IF(AND($D94&lt;&gt;"",#REF!&lt;&gt;"Fechado",$F94=10,$J94=1),1,0)</f>
        <v>#REF!</v>
      </c>
      <c r="O94" s="17" t="e">
        <f ca="1">IF(AND($D94&lt;&gt;"",#REF!&lt;&gt;"Fechado",$F94&gt;10,$J94=1),1,0)</f>
        <v>#REF!</v>
      </c>
    </row>
    <row r="95" spans="2:15" ht="14.4" x14ac:dyDescent="0.3">
      <c r="B95" s="5"/>
      <c r="C95" s="6"/>
      <c r="D95" s="7"/>
      <c r="E95" s="7"/>
      <c r="F95" s="1" t="str">
        <f t="shared" ca="1" si="7"/>
        <v/>
      </c>
      <c r="G95" s="27" t="str">
        <f t="shared" ca="1" si="4"/>
        <v/>
      </c>
      <c r="H95" s="10"/>
      <c r="J95" s="17">
        <f t="shared" ca="1" si="6"/>
        <v>0</v>
      </c>
      <c r="K95" s="17" t="e">
        <f ca="1">IF(AND($D95&lt;&gt;"",#REF!&lt;&gt;"Fechado",$F95&gt;=0,$F95&lt;=5,$J95=1),1,0)</f>
        <v>#REF!</v>
      </c>
      <c r="L95" s="17" t="e">
        <f ca="1">IF(AND($D95&lt;&gt;"",#REF!&lt;&gt;"Fechado",$F95&gt;=6,$F95&lt;=8,$J95=1),1,0)</f>
        <v>#REF!</v>
      </c>
      <c r="M95" s="17" t="e">
        <f ca="1">IF(AND($D95&lt;&gt;"",#REF!&lt;&gt;"Fechado",$F95=9,$J95=1),1,0)</f>
        <v>#REF!</v>
      </c>
      <c r="N95" s="17" t="e">
        <f ca="1">IF(AND($D95&lt;&gt;"",#REF!&lt;&gt;"Fechado",$F95=10,$J95=1),1,0)</f>
        <v>#REF!</v>
      </c>
      <c r="O95" s="17" t="e">
        <f ca="1">IF(AND($D95&lt;&gt;"",#REF!&lt;&gt;"Fechado",$F95&gt;10,$J95=1),1,0)</f>
        <v>#REF!</v>
      </c>
    </row>
    <row r="96" spans="2:15" ht="14.4" x14ac:dyDescent="0.3">
      <c r="B96" s="5"/>
      <c r="C96" s="6"/>
      <c r="D96" s="7"/>
      <c r="E96" s="7"/>
      <c r="F96" s="1" t="str">
        <f t="shared" ca="1" si="7"/>
        <v/>
      </c>
      <c r="G96" s="27" t="str">
        <f t="shared" ca="1" si="4"/>
        <v/>
      </c>
      <c r="H96" s="10"/>
      <c r="J96" s="17">
        <f t="shared" ca="1" si="6"/>
        <v>0</v>
      </c>
      <c r="K96" s="17" t="e">
        <f ca="1">IF(AND($D96&lt;&gt;"",#REF!&lt;&gt;"Fechado",$F96&gt;=0,$F96&lt;=5,$J96=1),1,0)</f>
        <v>#REF!</v>
      </c>
      <c r="L96" s="17" t="e">
        <f ca="1">IF(AND($D96&lt;&gt;"",#REF!&lt;&gt;"Fechado",$F96&gt;=6,$F96&lt;=8,$J96=1),1,0)</f>
        <v>#REF!</v>
      </c>
      <c r="M96" s="17" t="e">
        <f ca="1">IF(AND($D96&lt;&gt;"",#REF!&lt;&gt;"Fechado",$F96=9,$J96=1),1,0)</f>
        <v>#REF!</v>
      </c>
      <c r="N96" s="17" t="e">
        <f ca="1">IF(AND($D96&lt;&gt;"",#REF!&lt;&gt;"Fechado",$F96=10,$J96=1),1,0)</f>
        <v>#REF!</v>
      </c>
      <c r="O96" s="17" t="e">
        <f ca="1">IF(AND($D96&lt;&gt;"",#REF!&lt;&gt;"Fechado",$F96&gt;10,$J96=1),1,0)</f>
        <v>#REF!</v>
      </c>
    </row>
    <row r="97" spans="2:15" ht="14.4" x14ac:dyDescent="0.3">
      <c r="B97" s="5"/>
      <c r="C97" s="6"/>
      <c r="D97" s="7"/>
      <c r="E97" s="7"/>
      <c r="F97" s="1" t="str">
        <f t="shared" ca="1" si="7"/>
        <v/>
      </c>
      <c r="G97" s="27" t="str">
        <f t="shared" ca="1" si="4"/>
        <v/>
      </c>
      <c r="H97" s="10"/>
      <c r="J97" s="17">
        <f t="shared" ca="1" si="6"/>
        <v>0</v>
      </c>
      <c r="K97" s="17" t="e">
        <f ca="1">IF(AND($D97&lt;&gt;"",#REF!&lt;&gt;"Fechado",$F97&gt;=0,$F97&lt;=5,$J97=1),1,0)</f>
        <v>#REF!</v>
      </c>
      <c r="L97" s="17" t="e">
        <f ca="1">IF(AND($D97&lt;&gt;"",#REF!&lt;&gt;"Fechado",$F97&gt;=6,$F97&lt;=8,$J97=1),1,0)</f>
        <v>#REF!</v>
      </c>
      <c r="M97" s="17" t="e">
        <f ca="1">IF(AND($D97&lt;&gt;"",#REF!&lt;&gt;"Fechado",$F97=9,$J97=1),1,0)</f>
        <v>#REF!</v>
      </c>
      <c r="N97" s="17" t="e">
        <f ca="1">IF(AND($D97&lt;&gt;"",#REF!&lt;&gt;"Fechado",$F97=10,$J97=1),1,0)</f>
        <v>#REF!</v>
      </c>
      <c r="O97" s="17" t="e">
        <f ca="1">IF(AND($D97&lt;&gt;"",#REF!&lt;&gt;"Fechado",$F97&gt;10,$J97=1),1,0)</f>
        <v>#REF!</v>
      </c>
    </row>
    <row r="98" spans="2:15" ht="14.4" x14ac:dyDescent="0.3">
      <c r="B98" s="5"/>
      <c r="C98" s="6"/>
      <c r="D98" s="7"/>
      <c r="E98" s="7"/>
      <c r="F98" s="1" t="str">
        <f t="shared" ca="1" si="7"/>
        <v/>
      </c>
      <c r="G98" s="27" t="str">
        <f t="shared" ca="1" si="4"/>
        <v/>
      </c>
      <c r="H98" s="10"/>
      <c r="J98" s="17">
        <f t="shared" ca="1" si="6"/>
        <v>0</v>
      </c>
      <c r="K98" s="17" t="e">
        <f ca="1">IF(AND($D98&lt;&gt;"",#REF!&lt;&gt;"Fechado",$F98&gt;=0,$F98&lt;=5,$J98=1),1,0)</f>
        <v>#REF!</v>
      </c>
      <c r="L98" s="17" t="e">
        <f ca="1">IF(AND($D98&lt;&gt;"",#REF!&lt;&gt;"Fechado",$F98&gt;=6,$F98&lt;=8,$J98=1),1,0)</f>
        <v>#REF!</v>
      </c>
      <c r="M98" s="17" t="e">
        <f ca="1">IF(AND($D98&lt;&gt;"",#REF!&lt;&gt;"Fechado",$F98=9,$J98=1),1,0)</f>
        <v>#REF!</v>
      </c>
      <c r="N98" s="17" t="e">
        <f ca="1">IF(AND($D98&lt;&gt;"",#REF!&lt;&gt;"Fechado",$F98=10,$J98=1),1,0)</f>
        <v>#REF!</v>
      </c>
      <c r="O98" s="17" t="e">
        <f ca="1">IF(AND($D98&lt;&gt;"",#REF!&lt;&gt;"Fechado",$F98&gt;10,$J98=1),1,0)</f>
        <v>#REF!</v>
      </c>
    </row>
    <row r="99" spans="2:15" ht="14.4" x14ac:dyDescent="0.3">
      <c r="B99" s="5"/>
      <c r="C99" s="6"/>
      <c r="D99" s="7"/>
      <c r="E99" s="7"/>
      <c r="F99" s="1" t="str">
        <f t="shared" ca="1" si="7"/>
        <v/>
      </c>
      <c r="G99" s="27" t="str">
        <f t="shared" ca="1" si="4"/>
        <v/>
      </c>
      <c r="H99" s="10"/>
      <c r="J99" s="17">
        <f t="shared" ca="1" si="6"/>
        <v>0</v>
      </c>
      <c r="K99" s="17" t="e">
        <f ca="1">IF(AND($D99&lt;&gt;"",#REF!&lt;&gt;"Fechado",$F99&gt;=0,$F99&lt;=5,$J99=1),1,0)</f>
        <v>#REF!</v>
      </c>
      <c r="L99" s="17" t="e">
        <f ca="1">IF(AND($D99&lt;&gt;"",#REF!&lt;&gt;"Fechado",$F99&gt;=6,$F99&lt;=8,$J99=1),1,0)</f>
        <v>#REF!</v>
      </c>
      <c r="M99" s="17" t="e">
        <f ca="1">IF(AND($D99&lt;&gt;"",#REF!&lt;&gt;"Fechado",$F99=9,$J99=1),1,0)</f>
        <v>#REF!</v>
      </c>
      <c r="N99" s="17" t="e">
        <f ca="1">IF(AND($D99&lt;&gt;"",#REF!&lt;&gt;"Fechado",$F99=10,$J99=1),1,0)</f>
        <v>#REF!</v>
      </c>
      <c r="O99" s="17" t="e">
        <f ca="1">IF(AND($D99&lt;&gt;"",#REF!&lt;&gt;"Fechado",$F99&gt;10,$J99=1),1,0)</f>
        <v>#REF!</v>
      </c>
    </row>
    <row r="100" spans="2:15" ht="14.4" x14ac:dyDescent="0.3">
      <c r="B100" s="5"/>
      <c r="C100" s="6"/>
      <c r="D100" s="7"/>
      <c r="E100" s="7"/>
      <c r="F100" s="1" t="str">
        <f t="shared" ca="1" si="7"/>
        <v/>
      </c>
      <c r="G100" s="27" t="str">
        <f t="shared" ca="1" si="4"/>
        <v/>
      </c>
      <c r="H100" s="10"/>
      <c r="J100" s="17">
        <f t="shared" ca="1" si="6"/>
        <v>0</v>
      </c>
      <c r="K100" s="17" t="e">
        <f ca="1">IF(AND($D100&lt;&gt;"",#REF!&lt;&gt;"Fechado",$F100&gt;=0,$F100&lt;=5,$J100=1),1,0)</f>
        <v>#REF!</v>
      </c>
      <c r="L100" s="17" t="e">
        <f ca="1">IF(AND($D100&lt;&gt;"",#REF!&lt;&gt;"Fechado",$F100&gt;=6,$F100&lt;=8,$J100=1),1,0)</f>
        <v>#REF!</v>
      </c>
      <c r="M100" s="17" t="e">
        <f ca="1">IF(AND($D100&lt;&gt;"",#REF!&lt;&gt;"Fechado",$F100=9,$J100=1),1,0)</f>
        <v>#REF!</v>
      </c>
      <c r="N100" s="17" t="e">
        <f ca="1">IF(AND($D100&lt;&gt;"",#REF!&lt;&gt;"Fechado",$F100=10,$J100=1),1,0)</f>
        <v>#REF!</v>
      </c>
      <c r="O100" s="17" t="e">
        <f ca="1">IF(AND($D100&lt;&gt;"",#REF!&lt;&gt;"Fechado",$F100&gt;10,$J100=1),1,0)</f>
        <v>#REF!</v>
      </c>
    </row>
    <row r="101" spans="2:15" ht="14.4" x14ac:dyDescent="0.3">
      <c r="B101" s="5"/>
      <c r="C101" s="6"/>
      <c r="D101" s="7"/>
      <c r="E101" s="7"/>
      <c r="F101" s="1" t="str">
        <f t="shared" ca="1" si="7"/>
        <v/>
      </c>
      <c r="G101" s="27" t="str">
        <f t="shared" ca="1" si="4"/>
        <v/>
      </c>
      <c r="H101" s="10"/>
      <c r="J101" s="17">
        <f t="shared" ca="1" si="6"/>
        <v>0</v>
      </c>
      <c r="K101" s="17" t="e">
        <f ca="1">IF(AND($D101&lt;&gt;"",#REF!&lt;&gt;"Fechado",$F101&gt;=0,$F101&lt;=5,$J101=1),1,0)</f>
        <v>#REF!</v>
      </c>
      <c r="L101" s="17" t="e">
        <f ca="1">IF(AND($D101&lt;&gt;"",#REF!&lt;&gt;"Fechado",$F101&gt;=6,$F101&lt;=8,$J101=1),1,0)</f>
        <v>#REF!</v>
      </c>
      <c r="M101" s="17" t="e">
        <f ca="1">IF(AND($D101&lt;&gt;"",#REF!&lt;&gt;"Fechado",$F101=9,$J101=1),1,0)</f>
        <v>#REF!</v>
      </c>
      <c r="N101" s="17" t="e">
        <f ca="1">IF(AND($D101&lt;&gt;"",#REF!&lt;&gt;"Fechado",$F101=10,$J101=1),1,0)</f>
        <v>#REF!</v>
      </c>
      <c r="O101" s="17" t="e">
        <f ca="1">IF(AND($D101&lt;&gt;"",#REF!&lt;&gt;"Fechado",$F101&gt;10,$J101=1),1,0)</f>
        <v>#REF!</v>
      </c>
    </row>
    <row r="102" spans="2:15" ht="14.4" x14ac:dyDescent="0.3">
      <c r="B102" s="5"/>
      <c r="C102" s="6"/>
      <c r="D102" s="7"/>
      <c r="E102" s="7"/>
      <c r="F102" s="1" t="str">
        <f t="shared" ca="1" si="7"/>
        <v/>
      </c>
      <c r="G102" s="27" t="str">
        <f t="shared" ca="1" si="4"/>
        <v/>
      </c>
      <c r="H102" s="10"/>
      <c r="J102" s="17">
        <f t="shared" ca="1" si="6"/>
        <v>0</v>
      </c>
      <c r="K102" s="17" t="e">
        <f ca="1">IF(AND($D102&lt;&gt;"",#REF!&lt;&gt;"Fechado",$F102&gt;=0,$F102&lt;=5,$J102=1),1,0)</f>
        <v>#REF!</v>
      </c>
      <c r="L102" s="17" t="e">
        <f ca="1">IF(AND($D102&lt;&gt;"",#REF!&lt;&gt;"Fechado",$F102&gt;=6,$F102&lt;=8,$J102=1),1,0)</f>
        <v>#REF!</v>
      </c>
      <c r="M102" s="17" t="e">
        <f ca="1">IF(AND($D102&lt;&gt;"",#REF!&lt;&gt;"Fechado",$F102=9,$J102=1),1,0)</f>
        <v>#REF!</v>
      </c>
      <c r="N102" s="17" t="e">
        <f ca="1">IF(AND($D102&lt;&gt;"",#REF!&lt;&gt;"Fechado",$F102=10,$J102=1),1,0)</f>
        <v>#REF!</v>
      </c>
      <c r="O102" s="17" t="e">
        <f ca="1">IF(AND($D102&lt;&gt;"",#REF!&lt;&gt;"Fechado",$F102&gt;10,$J102=1),1,0)</f>
        <v>#REF!</v>
      </c>
    </row>
    <row r="103" spans="2:15" ht="14.4" x14ac:dyDescent="0.3">
      <c r="B103" s="30"/>
      <c r="C103" s="31"/>
      <c r="D103" s="32"/>
      <c r="E103" s="32"/>
      <c r="F103" s="1" t="str">
        <f t="shared" ca="1" si="7"/>
        <v/>
      </c>
      <c r="G103" s="27" t="str">
        <f t="shared" ca="1" si="4"/>
        <v/>
      </c>
      <c r="H103" s="10"/>
      <c r="J103" s="17">
        <f t="shared" ca="1" si="6"/>
        <v>0</v>
      </c>
      <c r="K103" s="17" t="e">
        <f ca="1">IF(AND($D103&lt;&gt;"",#REF!&lt;&gt;"Fechado",$F103&gt;=0,$F103&lt;=5,$J103=1),1,0)</f>
        <v>#REF!</v>
      </c>
      <c r="L103" s="17" t="e">
        <f ca="1">IF(AND($D103&lt;&gt;"",#REF!&lt;&gt;"Fechado",$F103&gt;=6,$F103&lt;=8,$J103=1),1,0)</f>
        <v>#REF!</v>
      </c>
      <c r="M103" s="17" t="e">
        <f ca="1">IF(AND($D103&lt;&gt;"",#REF!&lt;&gt;"Fechado",$F103=9,$J103=1),1,0)</f>
        <v>#REF!</v>
      </c>
      <c r="N103" s="17" t="e">
        <f ca="1">IF(AND($D103&lt;&gt;"",#REF!&lt;&gt;"Fechado",$F103=10,$J103=1),1,0)</f>
        <v>#REF!</v>
      </c>
      <c r="O103" s="17" t="e">
        <f ca="1">IF(AND($D103&lt;&gt;"",#REF!&lt;&gt;"Fechado",$F103&gt;10,$J103=1),1,0)</f>
        <v>#REF!</v>
      </c>
    </row>
    <row r="104" spans="2:15" ht="14.4" x14ac:dyDescent="0.3">
      <c r="B104" s="5"/>
      <c r="C104" s="6"/>
      <c r="D104" s="7"/>
      <c r="E104" s="7"/>
      <c r="F104" s="1" t="str">
        <f t="shared" ca="1" si="7"/>
        <v/>
      </c>
      <c r="G104" s="27" t="str">
        <f t="shared" ca="1" si="4"/>
        <v/>
      </c>
      <c r="H104" s="10"/>
      <c r="J104" s="17">
        <f t="shared" ca="1" si="6"/>
        <v>0</v>
      </c>
      <c r="K104" s="17" t="e">
        <f ca="1">IF(AND(#REF!&lt;&gt;"",#REF!&lt;&gt;"Fechado",#REF!&gt;=0,#REF!&lt;=5,$J104=1),1,0)</f>
        <v>#REF!</v>
      </c>
      <c r="L104" s="17" t="e">
        <f ca="1">IF(AND(#REF!&lt;&gt;"",#REF!&lt;&gt;"Fechado",#REF!&gt;=6,#REF!&lt;=8,$J104=1),1,0)</f>
        <v>#REF!</v>
      </c>
      <c r="M104" s="17" t="e">
        <f ca="1">IF(AND(#REF!&lt;&gt;"",#REF!&lt;&gt;"Fechado",#REF!=9,$J104=1),1,0)</f>
        <v>#REF!</v>
      </c>
      <c r="N104" s="17" t="e">
        <f ca="1">IF(AND(#REF!&lt;&gt;"",#REF!&lt;&gt;"Fechado",#REF!=10,$J104=1),1,0)</f>
        <v>#REF!</v>
      </c>
      <c r="O104" s="17" t="e">
        <f ca="1">IF(AND(#REF!&lt;&gt;"",#REF!&lt;&gt;"Fechado",#REF!&gt;10,$J104=1),1,0)</f>
        <v>#REF!</v>
      </c>
    </row>
    <row r="105" spans="2:15" ht="14.4" x14ac:dyDescent="0.3">
      <c r="B105" s="5"/>
      <c r="C105" s="6"/>
      <c r="D105" s="7"/>
      <c r="E105" s="7"/>
      <c r="F105" s="1" t="str">
        <f t="shared" ca="1" si="7"/>
        <v/>
      </c>
      <c r="G105" s="27" t="str">
        <f t="shared" ca="1" si="4"/>
        <v/>
      </c>
      <c r="H105" s="10"/>
      <c r="J105" s="17">
        <f t="shared" ca="1" si="6"/>
        <v>0</v>
      </c>
      <c r="K105" s="17" t="e">
        <f ca="1">IF(AND(#REF!&lt;&gt;"",#REF!&lt;&gt;"Fechado",#REF!&gt;=0,#REF!&lt;=5,$J105=1),1,0)</f>
        <v>#REF!</v>
      </c>
      <c r="L105" s="17" t="e">
        <f ca="1">IF(AND(#REF!&lt;&gt;"",#REF!&lt;&gt;"Fechado",#REF!&gt;=6,#REF!&lt;=8,$J105=1),1,0)</f>
        <v>#REF!</v>
      </c>
      <c r="M105" s="17" t="e">
        <f ca="1">IF(AND(#REF!&lt;&gt;"",#REF!&lt;&gt;"Fechado",#REF!=9,$J105=1),1,0)</f>
        <v>#REF!</v>
      </c>
      <c r="N105" s="17" t="e">
        <f ca="1">IF(AND(#REF!&lt;&gt;"",#REF!&lt;&gt;"Fechado",#REF!=10,$J105=1),1,0)</f>
        <v>#REF!</v>
      </c>
      <c r="O105" s="17" t="e">
        <f ca="1">IF(AND(#REF!&lt;&gt;"",#REF!&lt;&gt;"Fechado",#REF!&gt;10,$J105=1),1,0)</f>
        <v>#REF!</v>
      </c>
    </row>
    <row r="106" spans="2:15" ht="14.4" x14ac:dyDescent="0.3">
      <c r="B106" s="5"/>
      <c r="C106" s="6"/>
      <c r="D106" s="7"/>
      <c r="E106" s="7"/>
      <c r="F106" s="1" t="str">
        <f t="shared" ca="1" si="7"/>
        <v/>
      </c>
      <c r="G106" s="27" t="str">
        <f t="shared" ca="1" si="4"/>
        <v/>
      </c>
      <c r="H106" s="10"/>
      <c r="J106" s="17">
        <f t="shared" ca="1" si="6"/>
        <v>0</v>
      </c>
      <c r="K106" s="17" t="e">
        <f ca="1">IF(AND(#REF!&lt;&gt;"",#REF!&lt;&gt;"Fechado",#REF!&gt;=0,#REF!&lt;=5,$J106=1),1,0)</f>
        <v>#REF!</v>
      </c>
      <c r="L106" s="17" t="e">
        <f ca="1">IF(AND(#REF!&lt;&gt;"",#REF!&lt;&gt;"Fechado",#REF!&gt;=6,#REF!&lt;=8,$J106=1),1,0)</f>
        <v>#REF!</v>
      </c>
      <c r="M106" s="17" t="e">
        <f ca="1">IF(AND(#REF!&lt;&gt;"",#REF!&lt;&gt;"Fechado",#REF!=9,$J106=1),1,0)</f>
        <v>#REF!</v>
      </c>
      <c r="N106" s="17" t="e">
        <f ca="1">IF(AND(#REF!&lt;&gt;"",#REF!&lt;&gt;"Fechado",#REF!=10,$J106=1),1,0)</f>
        <v>#REF!</v>
      </c>
      <c r="O106" s="17" t="e">
        <f ca="1">IF(AND(#REF!&lt;&gt;"",#REF!&lt;&gt;"Fechado",#REF!&gt;10,$J106=1),1,0)</f>
        <v>#REF!</v>
      </c>
    </row>
    <row r="107" spans="2:15" ht="14.4" x14ac:dyDescent="0.3">
      <c r="B107" s="5"/>
      <c r="C107" s="6"/>
      <c r="D107" s="7"/>
      <c r="E107" s="7"/>
      <c r="F107" s="1" t="str">
        <f t="shared" ca="1" si="7"/>
        <v/>
      </c>
      <c r="G107" s="27" t="str">
        <f t="shared" ca="1" si="4"/>
        <v/>
      </c>
      <c r="H107" s="10"/>
      <c r="J107" s="17">
        <f t="shared" ca="1" si="6"/>
        <v>0</v>
      </c>
      <c r="K107" s="17" t="e">
        <f ca="1">IF(AND(#REF!&lt;&gt;"",#REF!&lt;&gt;"Fechado",#REF!&gt;=0,#REF!&lt;=5,$J107=1),1,0)</f>
        <v>#REF!</v>
      </c>
      <c r="L107" s="17" t="e">
        <f ca="1">IF(AND(#REF!&lt;&gt;"",#REF!&lt;&gt;"Fechado",#REF!&gt;=6,#REF!&lt;=8,$J107=1),1,0)</f>
        <v>#REF!</v>
      </c>
      <c r="M107" s="17" t="e">
        <f ca="1">IF(AND(#REF!&lt;&gt;"",#REF!&lt;&gt;"Fechado",#REF!=9,$J107=1),1,0)</f>
        <v>#REF!</v>
      </c>
      <c r="N107" s="17" t="e">
        <f ca="1">IF(AND(#REF!&lt;&gt;"",#REF!&lt;&gt;"Fechado",#REF!=10,$J107=1),1,0)</f>
        <v>#REF!</v>
      </c>
      <c r="O107" s="17" t="e">
        <f ca="1">IF(AND(#REF!&lt;&gt;"",#REF!&lt;&gt;"Fechado",#REF!&gt;10,$J107=1),1,0)</f>
        <v>#REF!</v>
      </c>
    </row>
    <row r="108" spans="2:15" ht="14.4" x14ac:dyDescent="0.3">
      <c r="B108" s="5"/>
      <c r="C108" s="6"/>
      <c r="D108" s="7"/>
      <c r="E108" s="7"/>
      <c r="F108" s="1" t="str">
        <f t="shared" ca="1" si="7"/>
        <v/>
      </c>
      <c r="G108" s="27" t="str">
        <f t="shared" ca="1" si="4"/>
        <v/>
      </c>
      <c r="H108" s="10"/>
      <c r="J108" s="17">
        <f t="shared" ca="1" si="6"/>
        <v>0</v>
      </c>
      <c r="K108" s="17" t="e">
        <f ca="1">IF(AND(#REF!&lt;&gt;"",#REF!&lt;&gt;"Fechado",#REF!&gt;=0,#REF!&lt;=5,$J108=1),1,0)</f>
        <v>#REF!</v>
      </c>
      <c r="L108" s="17" t="e">
        <f ca="1">IF(AND(#REF!&lt;&gt;"",#REF!&lt;&gt;"Fechado",#REF!&gt;=6,#REF!&lt;=8,$J108=1),1,0)</f>
        <v>#REF!</v>
      </c>
      <c r="M108" s="17" t="e">
        <f ca="1">IF(AND(#REF!&lt;&gt;"",#REF!&lt;&gt;"Fechado",#REF!=9,$J108=1),1,0)</f>
        <v>#REF!</v>
      </c>
      <c r="N108" s="17" t="e">
        <f ca="1">IF(AND(#REF!&lt;&gt;"",#REF!&lt;&gt;"Fechado",#REF!=10,$J108=1),1,0)</f>
        <v>#REF!</v>
      </c>
      <c r="O108" s="17" t="e">
        <f ca="1">IF(AND(#REF!&lt;&gt;"",#REF!&lt;&gt;"Fechado",#REF!&gt;10,$J108=1),1,0)</f>
        <v>#REF!</v>
      </c>
    </row>
    <row r="109" spans="2:15" ht="14.4" x14ac:dyDescent="0.3">
      <c r="B109" s="5"/>
      <c r="C109" s="6"/>
      <c r="D109" s="7"/>
      <c r="E109" s="7"/>
      <c r="F109" s="1" t="str">
        <f t="shared" ca="1" si="7"/>
        <v/>
      </c>
      <c r="G109" s="27" t="str">
        <f t="shared" ca="1" si="4"/>
        <v/>
      </c>
      <c r="H109" s="10"/>
      <c r="J109" s="17">
        <f t="shared" ca="1" si="6"/>
        <v>0</v>
      </c>
      <c r="K109" s="17" t="e">
        <f ca="1">IF(AND(#REF!&lt;&gt;"",#REF!&lt;&gt;"Fechado",#REF!&gt;=0,#REF!&lt;=5,$J109=1),1,0)</f>
        <v>#REF!</v>
      </c>
      <c r="L109" s="17" t="e">
        <f ca="1">IF(AND(#REF!&lt;&gt;"",#REF!&lt;&gt;"Fechado",#REF!&gt;=6,#REF!&lt;=8,$J109=1),1,0)</f>
        <v>#REF!</v>
      </c>
      <c r="M109" s="17" t="e">
        <f ca="1">IF(AND(#REF!&lt;&gt;"",#REF!&lt;&gt;"Fechado",#REF!=9,$J109=1),1,0)</f>
        <v>#REF!</v>
      </c>
      <c r="N109" s="17" t="e">
        <f ca="1">IF(AND(#REF!&lt;&gt;"",#REF!&lt;&gt;"Fechado",#REF!=10,$J109=1),1,0)</f>
        <v>#REF!</v>
      </c>
      <c r="O109" s="17" t="e">
        <f ca="1">IF(AND(#REF!&lt;&gt;"",#REF!&lt;&gt;"Fechado",#REF!&gt;10,$J109=1),1,0)</f>
        <v>#REF!</v>
      </c>
    </row>
    <row r="110" spans="2:15" ht="14.4" x14ac:dyDescent="0.3">
      <c r="B110" s="5"/>
      <c r="C110" s="6"/>
      <c r="D110" s="7"/>
      <c r="E110" s="7"/>
      <c r="F110" s="1" t="str">
        <f t="shared" ca="1" si="7"/>
        <v/>
      </c>
      <c r="G110" s="27" t="str">
        <f t="shared" ca="1" si="4"/>
        <v/>
      </c>
      <c r="H110" s="10"/>
      <c r="J110" s="17">
        <f t="shared" ca="1" si="6"/>
        <v>0</v>
      </c>
      <c r="K110" s="17" t="e">
        <f ca="1">IF(AND(#REF!&lt;&gt;"",#REF!&lt;&gt;"Fechado",#REF!&gt;=0,#REF!&lt;=5,$J110=1),1,0)</f>
        <v>#REF!</v>
      </c>
      <c r="L110" s="17" t="e">
        <f ca="1">IF(AND(#REF!&lt;&gt;"",#REF!&lt;&gt;"Fechado",#REF!&gt;=6,#REF!&lt;=8,$J110=1),1,0)</f>
        <v>#REF!</v>
      </c>
      <c r="M110" s="17" t="e">
        <f ca="1">IF(AND(#REF!&lt;&gt;"",#REF!&lt;&gt;"Fechado",#REF!=9,$J110=1),1,0)</f>
        <v>#REF!</v>
      </c>
      <c r="N110" s="17" t="e">
        <f ca="1">IF(AND(#REF!&lt;&gt;"",#REF!&lt;&gt;"Fechado",#REF!=10,$J110=1),1,0)</f>
        <v>#REF!</v>
      </c>
      <c r="O110" s="17" t="e">
        <f ca="1">IF(AND(#REF!&lt;&gt;"",#REF!&lt;&gt;"Fechado",#REF!&gt;10,$J110=1),1,0)</f>
        <v>#REF!</v>
      </c>
    </row>
    <row r="111" spans="2:15" ht="14.4" x14ac:dyDescent="0.3">
      <c r="B111" s="5"/>
      <c r="C111" s="6"/>
      <c r="D111" s="7"/>
      <c r="E111" s="7"/>
      <c r="F111" s="1" t="str">
        <f t="shared" ca="1" si="7"/>
        <v/>
      </c>
      <c r="G111" s="27" t="str">
        <f t="shared" ca="1" si="4"/>
        <v/>
      </c>
      <c r="H111" s="10"/>
      <c r="J111" s="17">
        <f t="shared" ca="1" si="6"/>
        <v>0</v>
      </c>
      <c r="K111" s="17" t="e">
        <f ca="1">IF(AND(#REF!&lt;&gt;"",#REF!&lt;&gt;"Fechado",#REF!&gt;=0,#REF!&lt;=5,$J111=1),1,0)</f>
        <v>#REF!</v>
      </c>
      <c r="L111" s="17" t="e">
        <f ca="1">IF(AND(#REF!&lt;&gt;"",#REF!&lt;&gt;"Fechado",#REF!&gt;=6,#REF!&lt;=8,$J111=1),1,0)</f>
        <v>#REF!</v>
      </c>
      <c r="M111" s="17" t="e">
        <f ca="1">IF(AND(#REF!&lt;&gt;"",#REF!&lt;&gt;"Fechado",#REF!=9,$J111=1),1,0)</f>
        <v>#REF!</v>
      </c>
      <c r="N111" s="17" t="e">
        <f ca="1">IF(AND(#REF!&lt;&gt;"",#REF!&lt;&gt;"Fechado",#REF!=10,$J111=1),1,0)</f>
        <v>#REF!</v>
      </c>
      <c r="O111" s="17" t="e">
        <f ca="1">IF(AND(#REF!&lt;&gt;"",#REF!&lt;&gt;"Fechado",#REF!&gt;10,$J111=1),1,0)</f>
        <v>#REF!</v>
      </c>
    </row>
    <row r="112" spans="2:15" ht="14.4" x14ac:dyDescent="0.3">
      <c r="B112" s="5"/>
      <c r="C112" s="6"/>
      <c r="D112" s="7"/>
      <c r="E112" s="7"/>
      <c r="F112" s="1" t="str">
        <f t="shared" ca="1" si="7"/>
        <v/>
      </c>
      <c r="G112" s="27" t="str">
        <f t="shared" ca="1" si="4"/>
        <v/>
      </c>
      <c r="H112" s="10"/>
      <c r="J112" s="17">
        <f t="shared" ca="1" si="6"/>
        <v>0</v>
      </c>
      <c r="K112" s="17" t="e">
        <f ca="1">IF(AND(#REF!&lt;&gt;"",#REF!&lt;&gt;"Fechado",#REF!&gt;=0,#REF!&lt;=5,$J112=1),1,0)</f>
        <v>#REF!</v>
      </c>
      <c r="L112" s="17" t="e">
        <f ca="1">IF(AND(#REF!&lt;&gt;"",#REF!&lt;&gt;"Fechado",#REF!&gt;=6,#REF!&lt;=8,$J112=1),1,0)</f>
        <v>#REF!</v>
      </c>
      <c r="M112" s="17" t="e">
        <f ca="1">IF(AND(#REF!&lt;&gt;"",#REF!&lt;&gt;"Fechado",#REF!=9,$J112=1),1,0)</f>
        <v>#REF!</v>
      </c>
      <c r="N112" s="17" t="e">
        <f ca="1">IF(AND(#REF!&lt;&gt;"",#REF!&lt;&gt;"Fechado",#REF!=10,$J112=1),1,0)</f>
        <v>#REF!</v>
      </c>
      <c r="O112" s="17" t="e">
        <f ca="1">IF(AND(#REF!&lt;&gt;"",#REF!&lt;&gt;"Fechado",#REF!&gt;10,$J112=1),1,0)</f>
        <v>#REF!</v>
      </c>
    </row>
    <row r="113" spans="2:15" ht="14.4" x14ac:dyDescent="0.3">
      <c r="B113" s="5"/>
      <c r="C113" s="6"/>
      <c r="D113" s="7"/>
      <c r="E113" s="7"/>
      <c r="F113" s="1" t="str">
        <f t="shared" ca="1" si="7"/>
        <v/>
      </c>
      <c r="G113" s="27" t="str">
        <f t="shared" ca="1" si="4"/>
        <v/>
      </c>
      <c r="H113" s="10"/>
      <c r="J113" s="17">
        <f t="shared" ca="1" si="6"/>
        <v>0</v>
      </c>
      <c r="K113" s="17" t="e">
        <f ca="1">IF(AND(#REF!&lt;&gt;"",#REF!&lt;&gt;"Fechado",#REF!&gt;=0,#REF!&lt;=5,$J113=1),1,0)</f>
        <v>#REF!</v>
      </c>
      <c r="L113" s="17" t="e">
        <f ca="1">IF(AND(#REF!&lt;&gt;"",#REF!&lt;&gt;"Fechado",#REF!&gt;=6,#REF!&lt;=8,$J113=1),1,0)</f>
        <v>#REF!</v>
      </c>
      <c r="M113" s="17" t="e">
        <f ca="1">IF(AND(#REF!&lt;&gt;"",#REF!&lt;&gt;"Fechado",#REF!=9,$J113=1),1,0)</f>
        <v>#REF!</v>
      </c>
      <c r="N113" s="17" t="e">
        <f ca="1">IF(AND(#REF!&lt;&gt;"",#REF!&lt;&gt;"Fechado",#REF!=10,$J113=1),1,0)</f>
        <v>#REF!</v>
      </c>
      <c r="O113" s="17" t="e">
        <f ca="1">IF(AND(#REF!&lt;&gt;"",#REF!&lt;&gt;"Fechado",#REF!&gt;10,$J113=1),1,0)</f>
        <v>#REF!</v>
      </c>
    </row>
    <row r="114" spans="2:15" ht="14.4" x14ac:dyDescent="0.3">
      <c r="B114" s="5"/>
      <c r="C114" s="6"/>
      <c r="D114" s="7"/>
      <c r="E114" s="7"/>
      <c r="F114" s="1" t="str">
        <f t="shared" ca="1" si="7"/>
        <v/>
      </c>
      <c r="G114" s="27" t="str">
        <f t="shared" ca="1" si="4"/>
        <v/>
      </c>
      <c r="H114" s="10"/>
      <c r="J114" s="17">
        <f t="shared" ca="1" si="6"/>
        <v>0</v>
      </c>
      <c r="K114" s="17" t="e">
        <f ca="1">IF(AND(#REF!&lt;&gt;"",#REF!&lt;&gt;"Fechado",#REF!&gt;=0,#REF!&lt;=5,$J114=1),1,0)</f>
        <v>#REF!</v>
      </c>
      <c r="L114" s="17" t="e">
        <f ca="1">IF(AND(#REF!&lt;&gt;"",#REF!&lt;&gt;"Fechado",#REF!&gt;=6,#REF!&lt;=8,$J114=1),1,0)</f>
        <v>#REF!</v>
      </c>
      <c r="M114" s="17" t="e">
        <f ca="1">IF(AND(#REF!&lt;&gt;"",#REF!&lt;&gt;"Fechado",#REF!=9,$J114=1),1,0)</f>
        <v>#REF!</v>
      </c>
      <c r="N114" s="17" t="e">
        <f ca="1">IF(AND(#REF!&lt;&gt;"",#REF!&lt;&gt;"Fechado",#REF!=10,$J114=1),1,0)</f>
        <v>#REF!</v>
      </c>
      <c r="O114" s="17" t="e">
        <f ca="1">IF(AND(#REF!&lt;&gt;"",#REF!&lt;&gt;"Fechado",#REF!&gt;10,$J114=1),1,0)</f>
        <v>#REF!</v>
      </c>
    </row>
    <row r="115" spans="2:15" ht="14.4" x14ac:dyDescent="0.3">
      <c r="B115" s="5"/>
      <c r="C115" s="6"/>
      <c r="D115" s="7"/>
      <c r="E115" s="7"/>
      <c r="F115" s="1" t="str">
        <f t="shared" ca="1" si="7"/>
        <v/>
      </c>
      <c r="G115" s="27" t="str">
        <f t="shared" ca="1" si="4"/>
        <v/>
      </c>
      <c r="H115" s="10"/>
      <c r="J115" s="17">
        <f t="shared" ca="1" si="6"/>
        <v>0</v>
      </c>
      <c r="K115" s="17" t="e">
        <f ca="1">IF(AND(#REF!&lt;&gt;"",#REF!&lt;&gt;"Fechado",#REF!&gt;=0,#REF!&lt;=5,$J115=1),1,0)</f>
        <v>#REF!</v>
      </c>
      <c r="L115" s="17" t="e">
        <f ca="1">IF(AND(#REF!&lt;&gt;"",#REF!&lt;&gt;"Fechado",#REF!&gt;=6,#REF!&lt;=8,$J115=1),1,0)</f>
        <v>#REF!</v>
      </c>
      <c r="M115" s="17" t="e">
        <f ca="1">IF(AND(#REF!&lt;&gt;"",#REF!&lt;&gt;"Fechado",#REF!=9,$J115=1),1,0)</f>
        <v>#REF!</v>
      </c>
      <c r="N115" s="17" t="e">
        <f ca="1">IF(AND(#REF!&lt;&gt;"",#REF!&lt;&gt;"Fechado",#REF!=10,$J115=1),1,0)</f>
        <v>#REF!</v>
      </c>
      <c r="O115" s="17" t="e">
        <f ca="1">IF(AND(#REF!&lt;&gt;"",#REF!&lt;&gt;"Fechado",#REF!&gt;10,$J115=1),1,0)</f>
        <v>#REF!</v>
      </c>
    </row>
    <row r="116" spans="2:15" ht="14.4" x14ac:dyDescent="0.3">
      <c r="B116" s="5"/>
      <c r="C116" s="6"/>
      <c r="D116" s="7"/>
      <c r="E116" s="7"/>
      <c r="F116" s="1" t="str">
        <f t="shared" ca="1" si="7"/>
        <v/>
      </c>
      <c r="G116" s="27" t="str">
        <f t="shared" ca="1" si="4"/>
        <v/>
      </c>
      <c r="H116" s="10"/>
      <c r="J116" s="17">
        <f t="shared" ca="1" si="6"/>
        <v>0</v>
      </c>
      <c r="K116" s="17" t="e">
        <f ca="1">IF(AND(#REF!&lt;&gt;"",#REF!&lt;&gt;"Fechado",#REF!&gt;=0,#REF!&lt;=5,$J116=1),1,0)</f>
        <v>#REF!</v>
      </c>
      <c r="L116" s="17" t="e">
        <f ca="1">IF(AND(#REF!&lt;&gt;"",#REF!&lt;&gt;"Fechado",#REF!&gt;=6,#REF!&lt;=8,$J116=1),1,0)</f>
        <v>#REF!</v>
      </c>
      <c r="M116" s="17" t="e">
        <f ca="1">IF(AND(#REF!&lt;&gt;"",#REF!&lt;&gt;"Fechado",#REF!=9,$J116=1),1,0)</f>
        <v>#REF!</v>
      </c>
      <c r="N116" s="17" t="e">
        <f ca="1">IF(AND(#REF!&lt;&gt;"",#REF!&lt;&gt;"Fechado",#REF!=10,$J116=1),1,0)</f>
        <v>#REF!</v>
      </c>
      <c r="O116" s="17" t="e">
        <f ca="1">IF(AND(#REF!&lt;&gt;"",#REF!&lt;&gt;"Fechado",#REF!&gt;10,$J116=1),1,0)</f>
        <v>#REF!</v>
      </c>
    </row>
    <row r="117" spans="2:15" ht="14.4" x14ac:dyDescent="0.3">
      <c r="B117" s="5"/>
      <c r="C117" s="6"/>
      <c r="D117" s="7"/>
      <c r="E117" s="7"/>
      <c r="F117" s="1" t="str">
        <f t="shared" ca="1" si="7"/>
        <v/>
      </c>
      <c r="G117" s="27" t="str">
        <f t="shared" ca="1" si="4"/>
        <v/>
      </c>
      <c r="H117" s="10"/>
      <c r="J117" s="17">
        <f t="shared" ca="1" si="6"/>
        <v>0</v>
      </c>
      <c r="K117" s="17" t="e">
        <f ca="1">IF(AND(#REF!&lt;&gt;"",#REF!&lt;&gt;"Fechado",#REF!&gt;=0,#REF!&lt;=5,$J117=1),1,0)</f>
        <v>#REF!</v>
      </c>
      <c r="L117" s="17" t="e">
        <f ca="1">IF(AND(#REF!&lt;&gt;"",#REF!&lt;&gt;"Fechado",#REF!&gt;=6,#REF!&lt;=8,$J117=1),1,0)</f>
        <v>#REF!</v>
      </c>
      <c r="M117" s="17" t="e">
        <f ca="1">IF(AND(#REF!&lt;&gt;"",#REF!&lt;&gt;"Fechado",#REF!=9,$J117=1),1,0)</f>
        <v>#REF!</v>
      </c>
      <c r="N117" s="17" t="e">
        <f ca="1">IF(AND(#REF!&lt;&gt;"",#REF!&lt;&gt;"Fechado",#REF!=10,$J117=1),1,0)</f>
        <v>#REF!</v>
      </c>
      <c r="O117" s="17" t="e">
        <f ca="1">IF(AND(#REF!&lt;&gt;"",#REF!&lt;&gt;"Fechado",#REF!&gt;10,$J117=1),1,0)</f>
        <v>#REF!</v>
      </c>
    </row>
    <row r="118" spans="2:15" ht="14.4" x14ac:dyDescent="0.3">
      <c r="B118" s="5"/>
      <c r="C118" s="6"/>
      <c r="D118" s="7"/>
      <c r="E118" s="7"/>
      <c r="F118" s="1" t="str">
        <f t="shared" ca="1" si="7"/>
        <v/>
      </c>
      <c r="G118" s="27" t="str">
        <f t="shared" ca="1" si="4"/>
        <v/>
      </c>
      <c r="H118" s="10"/>
      <c r="J118" s="17">
        <f t="shared" ca="1" si="6"/>
        <v>0</v>
      </c>
      <c r="K118" s="17" t="e">
        <f ca="1">IF(AND(#REF!&lt;&gt;"",#REF!&lt;&gt;"Fechado",#REF!&gt;=0,#REF!&lt;=5,$J118=1),1,0)</f>
        <v>#REF!</v>
      </c>
      <c r="L118" s="17" t="e">
        <f ca="1">IF(AND(#REF!&lt;&gt;"",#REF!&lt;&gt;"Fechado",#REF!&gt;=6,#REF!&lt;=8,$J118=1),1,0)</f>
        <v>#REF!</v>
      </c>
      <c r="M118" s="17" t="e">
        <f ca="1">IF(AND(#REF!&lt;&gt;"",#REF!&lt;&gt;"Fechado",#REF!=9,$J118=1),1,0)</f>
        <v>#REF!</v>
      </c>
      <c r="N118" s="17" t="e">
        <f ca="1">IF(AND(#REF!&lt;&gt;"",#REF!&lt;&gt;"Fechado",#REF!=10,$J118=1),1,0)</f>
        <v>#REF!</v>
      </c>
      <c r="O118" s="17" t="e">
        <f ca="1">IF(AND(#REF!&lt;&gt;"",#REF!&lt;&gt;"Fechado",#REF!&gt;10,$J118=1),1,0)</f>
        <v>#REF!</v>
      </c>
    </row>
    <row r="119" spans="2:15" ht="14.4" x14ac:dyDescent="0.3">
      <c r="B119" s="5"/>
      <c r="C119" s="6"/>
      <c r="D119" s="7"/>
      <c r="E119" s="7"/>
      <c r="F119" s="1" t="str">
        <f t="shared" ca="1" si="7"/>
        <v/>
      </c>
      <c r="G119" s="27" t="str">
        <f t="shared" ca="1" si="4"/>
        <v/>
      </c>
      <c r="H119" s="10"/>
      <c r="J119" s="17">
        <f t="shared" ca="1" si="6"/>
        <v>0</v>
      </c>
      <c r="K119" s="17" t="e">
        <f ca="1">IF(AND(#REF!&lt;&gt;"",#REF!&lt;&gt;"Fechado",#REF!&gt;=0,#REF!&lt;=5,$J119=1),1,0)</f>
        <v>#REF!</v>
      </c>
      <c r="L119" s="17" t="e">
        <f ca="1">IF(AND(#REF!&lt;&gt;"",#REF!&lt;&gt;"Fechado",#REF!&gt;=6,#REF!&lt;=8,$J119=1),1,0)</f>
        <v>#REF!</v>
      </c>
      <c r="M119" s="17" t="e">
        <f ca="1">IF(AND(#REF!&lt;&gt;"",#REF!&lt;&gt;"Fechado",#REF!=9,$J119=1),1,0)</f>
        <v>#REF!</v>
      </c>
      <c r="N119" s="17" t="e">
        <f ca="1">IF(AND(#REF!&lt;&gt;"",#REF!&lt;&gt;"Fechado",#REF!=10,$J119=1),1,0)</f>
        <v>#REF!</v>
      </c>
      <c r="O119" s="17" t="e">
        <f ca="1">IF(AND(#REF!&lt;&gt;"",#REF!&lt;&gt;"Fechado",#REF!&gt;10,$J119=1),1,0)</f>
        <v>#REF!</v>
      </c>
    </row>
    <row r="120" spans="2:15" ht="14.4" x14ac:dyDescent="0.3">
      <c r="B120" s="5"/>
      <c r="C120" s="6"/>
      <c r="D120" s="7"/>
      <c r="E120" s="7"/>
      <c r="F120" s="1" t="str">
        <f t="shared" ca="1" si="7"/>
        <v/>
      </c>
      <c r="G120" s="27" t="str">
        <f t="shared" ca="1" si="4"/>
        <v/>
      </c>
      <c r="H120" s="10"/>
      <c r="J120" s="17">
        <f t="shared" ca="1" si="6"/>
        <v>0</v>
      </c>
      <c r="K120" s="17" t="e">
        <f ca="1">IF(AND(#REF!&lt;&gt;"",#REF!&lt;&gt;"Fechado",#REF!&gt;=0,#REF!&lt;=5,$J120=1),1,0)</f>
        <v>#REF!</v>
      </c>
      <c r="L120" s="17" t="e">
        <f ca="1">IF(AND(#REF!&lt;&gt;"",#REF!&lt;&gt;"Fechado",#REF!&gt;=6,#REF!&lt;=8,$J120=1),1,0)</f>
        <v>#REF!</v>
      </c>
      <c r="M120" s="17" t="e">
        <f ca="1">IF(AND(#REF!&lt;&gt;"",#REF!&lt;&gt;"Fechado",#REF!=9,$J120=1),1,0)</f>
        <v>#REF!</v>
      </c>
      <c r="N120" s="17" t="e">
        <f ca="1">IF(AND(#REF!&lt;&gt;"",#REF!&lt;&gt;"Fechado",#REF!=10,$J120=1),1,0)</f>
        <v>#REF!</v>
      </c>
      <c r="O120" s="17" t="e">
        <f ca="1">IF(AND(#REF!&lt;&gt;"",#REF!&lt;&gt;"Fechado",#REF!&gt;10,$J120=1),1,0)</f>
        <v>#REF!</v>
      </c>
    </row>
    <row r="121" spans="2:15" ht="14.4" x14ac:dyDescent="0.3">
      <c r="B121" s="5"/>
      <c r="C121" s="6"/>
      <c r="D121" s="7"/>
      <c r="E121" s="7"/>
      <c r="F121" s="1" t="str">
        <f t="shared" ca="1" si="7"/>
        <v/>
      </c>
      <c r="G121" s="27" t="str">
        <f t="shared" ca="1" si="4"/>
        <v/>
      </c>
      <c r="H121" s="10"/>
      <c r="J121" s="17">
        <f t="shared" ca="1" si="6"/>
        <v>0</v>
      </c>
      <c r="K121" s="17" t="e">
        <f ca="1">IF(AND(#REF!&lt;&gt;"",#REF!&lt;&gt;"Fechado",#REF!&gt;=0,#REF!&lt;=5,$J121=1),1,0)</f>
        <v>#REF!</v>
      </c>
      <c r="L121" s="17" t="e">
        <f ca="1">IF(AND(#REF!&lt;&gt;"",#REF!&lt;&gt;"Fechado",#REF!&gt;=6,#REF!&lt;=8,$J121=1),1,0)</f>
        <v>#REF!</v>
      </c>
      <c r="M121" s="17" t="e">
        <f ca="1">IF(AND(#REF!&lt;&gt;"",#REF!&lt;&gt;"Fechado",#REF!=9,$J121=1),1,0)</f>
        <v>#REF!</v>
      </c>
      <c r="N121" s="17" t="e">
        <f ca="1">IF(AND(#REF!&lt;&gt;"",#REF!&lt;&gt;"Fechado",#REF!=10,$J121=1),1,0)</f>
        <v>#REF!</v>
      </c>
      <c r="O121" s="17" t="e">
        <f ca="1">IF(AND(#REF!&lt;&gt;"",#REF!&lt;&gt;"Fechado",#REF!&gt;10,$J121=1),1,0)</f>
        <v>#REF!</v>
      </c>
    </row>
    <row r="122" spans="2:15" ht="14.4" x14ac:dyDescent="0.3">
      <c r="B122" s="5"/>
      <c r="C122" s="6"/>
      <c r="D122" s="7"/>
      <c r="E122" s="7"/>
      <c r="F122" s="1" t="str">
        <f t="shared" ca="1" si="7"/>
        <v/>
      </c>
      <c r="G122" s="27" t="str">
        <f t="shared" ca="1" si="4"/>
        <v/>
      </c>
      <c r="H122" s="10"/>
      <c r="J122" s="17">
        <f t="shared" ca="1" si="6"/>
        <v>0</v>
      </c>
      <c r="K122" s="17" t="e">
        <f ca="1">IF(AND(#REF!&lt;&gt;"",#REF!&lt;&gt;"Fechado",#REF!&gt;=0,#REF!&lt;=5,$J122=1),1,0)</f>
        <v>#REF!</v>
      </c>
      <c r="L122" s="17" t="e">
        <f ca="1">IF(AND(#REF!&lt;&gt;"",#REF!&lt;&gt;"Fechado",#REF!&gt;=6,#REF!&lt;=8,$J122=1),1,0)</f>
        <v>#REF!</v>
      </c>
      <c r="M122" s="17" t="e">
        <f ca="1">IF(AND(#REF!&lt;&gt;"",#REF!&lt;&gt;"Fechado",#REF!=9,$J122=1),1,0)</f>
        <v>#REF!</v>
      </c>
      <c r="N122" s="17" t="e">
        <f ca="1">IF(AND(#REF!&lt;&gt;"",#REF!&lt;&gt;"Fechado",#REF!=10,$J122=1),1,0)</f>
        <v>#REF!</v>
      </c>
      <c r="O122" s="17" t="e">
        <f ca="1">IF(AND(#REF!&lt;&gt;"",#REF!&lt;&gt;"Fechado",#REF!&gt;10,$J122=1),1,0)</f>
        <v>#REF!</v>
      </c>
    </row>
    <row r="123" spans="2:15" ht="14.4" x14ac:dyDescent="0.3">
      <c r="B123" s="5"/>
      <c r="C123" s="6"/>
      <c r="D123" s="7"/>
      <c r="E123" s="7"/>
      <c r="F123" s="1" t="str">
        <f t="shared" ca="1" si="7"/>
        <v/>
      </c>
      <c r="G123" s="27" t="str">
        <f t="shared" ca="1" si="4"/>
        <v/>
      </c>
      <c r="H123" s="10"/>
      <c r="J123" s="17">
        <f t="shared" ca="1" si="6"/>
        <v>0</v>
      </c>
      <c r="K123" s="17" t="e">
        <f ca="1">IF(AND(#REF!&lt;&gt;"",#REF!&lt;&gt;"Fechado",#REF!&gt;=0,#REF!&lt;=5,$J123=1),1,0)</f>
        <v>#REF!</v>
      </c>
      <c r="L123" s="17" t="e">
        <f ca="1">IF(AND(#REF!&lt;&gt;"",#REF!&lt;&gt;"Fechado",#REF!&gt;=6,#REF!&lt;=8,$J123=1),1,0)</f>
        <v>#REF!</v>
      </c>
      <c r="M123" s="17" t="e">
        <f ca="1">IF(AND(#REF!&lt;&gt;"",#REF!&lt;&gt;"Fechado",#REF!=9,$J123=1),1,0)</f>
        <v>#REF!</v>
      </c>
      <c r="N123" s="17" t="e">
        <f ca="1">IF(AND(#REF!&lt;&gt;"",#REF!&lt;&gt;"Fechado",#REF!=10,$J123=1),1,0)</f>
        <v>#REF!</v>
      </c>
      <c r="O123" s="17" t="e">
        <f ca="1">IF(AND(#REF!&lt;&gt;"",#REF!&lt;&gt;"Fechado",#REF!&gt;10,$J123=1),1,0)</f>
        <v>#REF!</v>
      </c>
    </row>
    <row r="124" spans="2:15" ht="14.4" x14ac:dyDescent="0.3">
      <c r="B124" s="5"/>
      <c r="C124" s="6"/>
      <c r="D124" s="7"/>
      <c r="E124" s="7"/>
      <c r="F124" s="1" t="str">
        <f t="shared" ca="1" si="7"/>
        <v/>
      </c>
      <c r="G124" s="27" t="str">
        <f t="shared" ca="1" si="4"/>
        <v/>
      </c>
      <c r="H124" s="10"/>
      <c r="J124" s="17">
        <f t="shared" ca="1" si="6"/>
        <v>0</v>
      </c>
      <c r="K124" s="17" t="e">
        <f ca="1">IF(AND(#REF!&lt;&gt;"",#REF!&lt;&gt;"Fechado",#REF!&gt;=0,#REF!&lt;=5,$J124=1),1,0)</f>
        <v>#REF!</v>
      </c>
      <c r="L124" s="17" t="e">
        <f ca="1">IF(AND(#REF!&lt;&gt;"",#REF!&lt;&gt;"Fechado",#REF!&gt;=6,#REF!&lt;=8,$J124=1),1,0)</f>
        <v>#REF!</v>
      </c>
      <c r="M124" s="17" t="e">
        <f ca="1">IF(AND(#REF!&lt;&gt;"",#REF!&lt;&gt;"Fechado",#REF!=9,$J124=1),1,0)</f>
        <v>#REF!</v>
      </c>
      <c r="N124" s="17" t="e">
        <f ca="1">IF(AND(#REF!&lt;&gt;"",#REF!&lt;&gt;"Fechado",#REF!=10,$J124=1),1,0)</f>
        <v>#REF!</v>
      </c>
      <c r="O124" s="17" t="e">
        <f ca="1">IF(AND(#REF!&lt;&gt;"",#REF!&lt;&gt;"Fechado",#REF!&gt;10,$J124=1),1,0)</f>
        <v>#REF!</v>
      </c>
    </row>
    <row r="125" spans="2:15" ht="14.4" x14ac:dyDescent="0.3">
      <c r="B125" s="5"/>
      <c r="C125" s="6"/>
      <c r="D125" s="7"/>
      <c r="E125" s="7"/>
      <c r="F125" s="1" t="str">
        <f t="shared" ca="1" si="7"/>
        <v/>
      </c>
      <c r="G125" s="27" t="str">
        <f t="shared" ca="1" si="4"/>
        <v/>
      </c>
      <c r="H125" s="10"/>
      <c r="J125" s="17">
        <f t="shared" ca="1" si="6"/>
        <v>0</v>
      </c>
      <c r="K125" s="17" t="e">
        <f ca="1">IF(AND(#REF!&lt;&gt;"",#REF!&lt;&gt;"Fechado",#REF!&gt;=0,#REF!&lt;=5,$J125=1),1,0)</f>
        <v>#REF!</v>
      </c>
      <c r="L125" s="17" t="e">
        <f ca="1">IF(AND(#REF!&lt;&gt;"",#REF!&lt;&gt;"Fechado",#REF!&gt;=6,#REF!&lt;=8,$J125=1),1,0)</f>
        <v>#REF!</v>
      </c>
      <c r="M125" s="17" t="e">
        <f ca="1">IF(AND(#REF!&lt;&gt;"",#REF!&lt;&gt;"Fechado",#REF!=9,$J125=1),1,0)</f>
        <v>#REF!</v>
      </c>
      <c r="N125" s="17" t="e">
        <f ca="1">IF(AND(#REF!&lt;&gt;"",#REF!&lt;&gt;"Fechado",#REF!=10,$J125=1),1,0)</f>
        <v>#REF!</v>
      </c>
      <c r="O125" s="17" t="e">
        <f ca="1">IF(AND(#REF!&lt;&gt;"",#REF!&lt;&gt;"Fechado",#REF!&gt;10,$J125=1),1,0)</f>
        <v>#REF!</v>
      </c>
    </row>
    <row r="126" spans="2:15" ht="14.4" x14ac:dyDescent="0.3">
      <c r="B126" s="5"/>
      <c r="C126" s="6"/>
      <c r="D126" s="7"/>
      <c r="E126" s="7"/>
      <c r="F126" s="1" t="str">
        <f t="shared" ca="1" si="7"/>
        <v/>
      </c>
      <c r="G126" s="27" t="str">
        <f t="shared" ca="1" si="4"/>
        <v/>
      </c>
      <c r="H126" s="10"/>
      <c r="J126" s="17">
        <f t="shared" ca="1" si="6"/>
        <v>0</v>
      </c>
      <c r="K126" s="17" t="e">
        <f ca="1">IF(AND(#REF!&lt;&gt;"",#REF!&lt;&gt;"Fechado",#REF!&gt;=0,#REF!&lt;=5,$J126=1),1,0)</f>
        <v>#REF!</v>
      </c>
      <c r="L126" s="17" t="e">
        <f ca="1">IF(AND(#REF!&lt;&gt;"",#REF!&lt;&gt;"Fechado",#REF!&gt;=6,#REF!&lt;=8,$J126=1),1,0)</f>
        <v>#REF!</v>
      </c>
      <c r="M126" s="17" t="e">
        <f ca="1">IF(AND(#REF!&lt;&gt;"",#REF!&lt;&gt;"Fechado",#REF!=9,$J126=1),1,0)</f>
        <v>#REF!</v>
      </c>
      <c r="N126" s="17" t="e">
        <f ca="1">IF(AND(#REF!&lt;&gt;"",#REF!&lt;&gt;"Fechado",#REF!=10,$J126=1),1,0)</f>
        <v>#REF!</v>
      </c>
      <c r="O126" s="17" t="e">
        <f ca="1">IF(AND(#REF!&lt;&gt;"",#REF!&lt;&gt;"Fechado",#REF!&gt;10,$J126=1),1,0)</f>
        <v>#REF!</v>
      </c>
    </row>
    <row r="127" spans="2:15" ht="14.4" x14ac:dyDescent="0.3">
      <c r="B127" s="5"/>
      <c r="C127" s="6"/>
      <c r="D127" s="7"/>
      <c r="E127" s="7"/>
      <c r="F127" s="1" t="str">
        <f t="shared" ca="1" si="7"/>
        <v/>
      </c>
      <c r="G127" s="27" t="str">
        <f t="shared" ca="1" si="4"/>
        <v/>
      </c>
      <c r="H127" s="10"/>
      <c r="J127" s="17">
        <f t="shared" ca="1" si="6"/>
        <v>0</v>
      </c>
      <c r="K127" s="17" t="e">
        <f ca="1">IF(AND(#REF!&lt;&gt;"",#REF!&lt;&gt;"Fechado",#REF!&gt;=0,#REF!&lt;=5,$J127=1),1,0)</f>
        <v>#REF!</v>
      </c>
      <c r="L127" s="17" t="e">
        <f ca="1">IF(AND(#REF!&lt;&gt;"",#REF!&lt;&gt;"Fechado",#REF!&gt;=6,#REF!&lt;=8,$J127=1),1,0)</f>
        <v>#REF!</v>
      </c>
      <c r="M127" s="17" t="e">
        <f ca="1">IF(AND(#REF!&lt;&gt;"",#REF!&lt;&gt;"Fechado",#REF!=9,$J127=1),1,0)</f>
        <v>#REF!</v>
      </c>
      <c r="N127" s="17" t="e">
        <f ca="1">IF(AND(#REF!&lt;&gt;"",#REF!&lt;&gt;"Fechado",#REF!=10,$J127=1),1,0)</f>
        <v>#REF!</v>
      </c>
      <c r="O127" s="17" t="e">
        <f ca="1">IF(AND(#REF!&lt;&gt;"",#REF!&lt;&gt;"Fechado",#REF!&gt;10,$J127=1),1,0)</f>
        <v>#REF!</v>
      </c>
    </row>
    <row r="128" spans="2:15" ht="14.4" x14ac:dyDescent="0.3">
      <c r="B128" s="5"/>
      <c r="C128" s="6"/>
      <c r="D128" s="7"/>
      <c r="E128" s="7"/>
      <c r="F128" s="1" t="str">
        <f t="shared" ca="1" si="7"/>
        <v/>
      </c>
      <c r="G128" s="27" t="str">
        <f t="shared" ca="1" si="4"/>
        <v/>
      </c>
      <c r="H128" s="10"/>
      <c r="J128" s="17">
        <f t="shared" ca="1" si="6"/>
        <v>0</v>
      </c>
      <c r="K128" s="17" t="e">
        <f ca="1">IF(AND(#REF!&lt;&gt;"",#REF!&lt;&gt;"Fechado",#REF!&gt;=0,#REF!&lt;=5,$J128=1),1,0)</f>
        <v>#REF!</v>
      </c>
      <c r="L128" s="17" t="e">
        <f ca="1">IF(AND(#REF!&lt;&gt;"",#REF!&lt;&gt;"Fechado",#REF!&gt;=6,#REF!&lt;=8,$J128=1),1,0)</f>
        <v>#REF!</v>
      </c>
      <c r="M128" s="17" t="e">
        <f ca="1">IF(AND(#REF!&lt;&gt;"",#REF!&lt;&gt;"Fechado",#REF!=9,$J128=1),1,0)</f>
        <v>#REF!</v>
      </c>
      <c r="N128" s="17" t="e">
        <f ca="1">IF(AND(#REF!&lt;&gt;"",#REF!&lt;&gt;"Fechado",#REF!=10,$J128=1),1,0)</f>
        <v>#REF!</v>
      </c>
      <c r="O128" s="17" t="e">
        <f ca="1">IF(AND(#REF!&lt;&gt;"",#REF!&lt;&gt;"Fechado",#REF!&gt;10,$J128=1),1,0)</f>
        <v>#REF!</v>
      </c>
    </row>
    <row r="129" spans="2:15" ht="14.4" x14ac:dyDescent="0.3">
      <c r="B129" s="5"/>
      <c r="C129" s="6"/>
      <c r="D129" s="7"/>
      <c r="E129" s="7"/>
      <c r="F129" s="1" t="str">
        <f t="shared" ca="1" si="7"/>
        <v/>
      </c>
      <c r="G129" s="27" t="str">
        <f t="shared" ca="1" si="4"/>
        <v/>
      </c>
      <c r="H129" s="10"/>
      <c r="J129" s="17">
        <f t="shared" ca="1" si="6"/>
        <v>0</v>
      </c>
      <c r="K129" s="17" t="e">
        <f ca="1">IF(AND(#REF!&lt;&gt;"",#REF!&lt;&gt;"Fechado",#REF!&gt;=0,#REF!&lt;=5,$J129=1),1,0)</f>
        <v>#REF!</v>
      </c>
      <c r="L129" s="17" t="e">
        <f ca="1">IF(AND(#REF!&lt;&gt;"",#REF!&lt;&gt;"Fechado",#REF!&gt;=6,#REF!&lt;=8,$J129=1),1,0)</f>
        <v>#REF!</v>
      </c>
      <c r="M129" s="17" t="e">
        <f ca="1">IF(AND(#REF!&lt;&gt;"",#REF!&lt;&gt;"Fechado",#REF!=9,$J129=1),1,0)</f>
        <v>#REF!</v>
      </c>
      <c r="N129" s="17" t="e">
        <f ca="1">IF(AND(#REF!&lt;&gt;"",#REF!&lt;&gt;"Fechado",#REF!=10,$J129=1),1,0)</f>
        <v>#REF!</v>
      </c>
      <c r="O129" s="17" t="e">
        <f ca="1">IF(AND(#REF!&lt;&gt;"",#REF!&lt;&gt;"Fechado",#REF!&gt;10,$J129=1),1,0)</f>
        <v>#REF!</v>
      </c>
    </row>
    <row r="130" spans="2:15" ht="14.4" x14ac:dyDescent="0.3">
      <c r="B130" s="5"/>
      <c r="C130" s="6"/>
      <c r="D130" s="7"/>
      <c r="E130" s="7"/>
      <c r="F130" s="1" t="str">
        <f t="shared" ca="1" si="7"/>
        <v/>
      </c>
      <c r="G130" s="27" t="str">
        <f t="shared" ca="1" si="4"/>
        <v/>
      </c>
      <c r="H130" s="10"/>
      <c r="J130" s="17">
        <f t="shared" ca="1" si="6"/>
        <v>0</v>
      </c>
      <c r="K130" s="17" t="e">
        <f ca="1">IF(AND(#REF!&lt;&gt;"",#REF!&lt;&gt;"Fechado",#REF!&gt;=0,#REF!&lt;=5,$J130=1),1,0)</f>
        <v>#REF!</v>
      </c>
      <c r="L130" s="17" t="e">
        <f ca="1">IF(AND(#REF!&lt;&gt;"",#REF!&lt;&gt;"Fechado",#REF!&gt;=6,#REF!&lt;=8,$J130=1),1,0)</f>
        <v>#REF!</v>
      </c>
      <c r="M130" s="17" t="e">
        <f ca="1">IF(AND(#REF!&lt;&gt;"",#REF!&lt;&gt;"Fechado",#REF!=9,$J130=1),1,0)</f>
        <v>#REF!</v>
      </c>
      <c r="N130" s="17" t="e">
        <f ca="1">IF(AND(#REF!&lt;&gt;"",#REF!&lt;&gt;"Fechado",#REF!=10,$J130=1),1,0)</f>
        <v>#REF!</v>
      </c>
      <c r="O130" s="17" t="e">
        <f ca="1">IF(AND(#REF!&lt;&gt;"",#REF!&lt;&gt;"Fechado",#REF!&gt;10,$J130=1),1,0)</f>
        <v>#REF!</v>
      </c>
    </row>
    <row r="131" spans="2:15" ht="14.4" x14ac:dyDescent="0.3">
      <c r="B131" s="5"/>
      <c r="C131" s="6"/>
      <c r="D131" s="7"/>
      <c r="E131" s="7"/>
      <c r="F131" s="1" t="str">
        <f t="shared" ca="1" si="7"/>
        <v/>
      </c>
      <c r="G131" s="27" t="str">
        <f t="shared" ca="1" si="4"/>
        <v/>
      </c>
      <c r="H131" s="10"/>
      <c r="J131" s="17">
        <f t="shared" ca="1" si="6"/>
        <v>0</v>
      </c>
      <c r="K131" s="17" t="e">
        <f ca="1">IF(AND(#REF!&lt;&gt;"",#REF!&lt;&gt;"Fechado",#REF!&gt;=0,#REF!&lt;=5,$J131=1),1,0)</f>
        <v>#REF!</v>
      </c>
      <c r="L131" s="17" t="e">
        <f ca="1">IF(AND(#REF!&lt;&gt;"",#REF!&lt;&gt;"Fechado",#REF!&gt;=6,#REF!&lt;=8,$J131=1),1,0)</f>
        <v>#REF!</v>
      </c>
      <c r="M131" s="17" t="e">
        <f ca="1">IF(AND(#REF!&lt;&gt;"",#REF!&lt;&gt;"Fechado",#REF!=9,$J131=1),1,0)</f>
        <v>#REF!</v>
      </c>
      <c r="N131" s="17" t="e">
        <f ca="1">IF(AND(#REF!&lt;&gt;"",#REF!&lt;&gt;"Fechado",#REF!=10,$J131=1),1,0)</f>
        <v>#REF!</v>
      </c>
      <c r="O131" s="17" t="e">
        <f ca="1">IF(AND(#REF!&lt;&gt;"",#REF!&lt;&gt;"Fechado",#REF!&gt;10,$J131=1),1,0)</f>
        <v>#REF!</v>
      </c>
    </row>
    <row r="132" spans="2:15" ht="14.4" x14ac:dyDescent="0.3">
      <c r="B132" s="5"/>
      <c r="C132" s="6"/>
      <c r="D132" s="7"/>
      <c r="E132" s="7"/>
      <c r="F132" s="1" t="str">
        <f t="shared" ca="1" si="7"/>
        <v/>
      </c>
      <c r="G132" s="27" t="str">
        <f t="shared" ca="1" si="4"/>
        <v/>
      </c>
      <c r="H132" s="10"/>
      <c r="J132" s="17">
        <f t="shared" ca="1" si="6"/>
        <v>0</v>
      </c>
      <c r="K132" s="17" t="e">
        <f ca="1">IF(AND(#REF!&lt;&gt;"",#REF!&lt;&gt;"Fechado",#REF!&gt;=0,#REF!&lt;=5,$J132=1),1,0)</f>
        <v>#REF!</v>
      </c>
      <c r="L132" s="17" t="e">
        <f ca="1">IF(AND(#REF!&lt;&gt;"",#REF!&lt;&gt;"Fechado",#REF!&gt;=6,#REF!&lt;=8,$J132=1),1,0)</f>
        <v>#REF!</v>
      </c>
      <c r="M132" s="17" t="e">
        <f ca="1">IF(AND(#REF!&lt;&gt;"",#REF!&lt;&gt;"Fechado",#REF!=9,$J132=1),1,0)</f>
        <v>#REF!</v>
      </c>
      <c r="N132" s="17" t="e">
        <f ca="1">IF(AND(#REF!&lt;&gt;"",#REF!&lt;&gt;"Fechado",#REF!=10,$J132=1),1,0)</f>
        <v>#REF!</v>
      </c>
      <c r="O132" s="17" t="e">
        <f ca="1">IF(AND(#REF!&lt;&gt;"",#REF!&lt;&gt;"Fechado",#REF!&gt;10,$J132=1),1,0)</f>
        <v>#REF!</v>
      </c>
    </row>
    <row r="133" spans="2:15" ht="14.4" x14ac:dyDescent="0.3">
      <c r="B133" s="5"/>
      <c r="C133" s="6"/>
      <c r="D133" s="7"/>
      <c r="E133" s="7"/>
      <c r="F133" s="1" t="str">
        <f t="shared" ca="1" si="7"/>
        <v/>
      </c>
      <c r="G133" s="27" t="str">
        <f t="shared" ca="1" si="4"/>
        <v/>
      </c>
      <c r="H133" s="10"/>
      <c r="J133" s="17">
        <f t="shared" ca="1" si="6"/>
        <v>0</v>
      </c>
      <c r="K133" s="17" t="e">
        <f ca="1">IF(AND(#REF!&lt;&gt;"",#REF!&lt;&gt;"Fechado",#REF!&gt;=0,#REF!&lt;=5,$J133=1),1,0)</f>
        <v>#REF!</v>
      </c>
      <c r="L133" s="17" t="e">
        <f ca="1">IF(AND(#REF!&lt;&gt;"",#REF!&lt;&gt;"Fechado",#REF!&gt;=6,#REF!&lt;=8,$J133=1),1,0)</f>
        <v>#REF!</v>
      </c>
      <c r="M133" s="17" t="e">
        <f ca="1">IF(AND(#REF!&lt;&gt;"",#REF!&lt;&gt;"Fechado",#REF!=9,$J133=1),1,0)</f>
        <v>#REF!</v>
      </c>
      <c r="N133" s="17" t="e">
        <f ca="1">IF(AND(#REF!&lt;&gt;"",#REF!&lt;&gt;"Fechado",#REF!=10,$J133=1),1,0)</f>
        <v>#REF!</v>
      </c>
      <c r="O133" s="17" t="e">
        <f ca="1">IF(AND(#REF!&lt;&gt;"",#REF!&lt;&gt;"Fechado",#REF!&gt;10,$J133=1),1,0)</f>
        <v>#REF!</v>
      </c>
    </row>
    <row r="134" spans="2:15" ht="14.4" x14ac:dyDescent="0.3">
      <c r="B134" s="5"/>
      <c r="C134" s="6"/>
      <c r="D134" s="7"/>
      <c r="E134" s="7"/>
      <c r="F134" s="1" t="str">
        <f t="shared" ca="1" si="7"/>
        <v/>
      </c>
      <c r="G134" s="27" t="str">
        <f t="shared" ref="G134:G177" ca="1" si="8">IF(AND($D134&lt;&gt;"", ISNUMBER($D134)), IF(AND(IF(AND($E134&lt;&gt;"", ISNUMBER($E134)), $E134-$D134, TODAY()-$D134)&gt;=0, IF(AND($E134&lt;&gt;"", ISNUMBER($E134)), $E134-$D134, TODAY()-$D134)&lt;=5), "Dentro do prazo", IF(AND(IF(AND($E134&lt;&gt;"", ISNUMBER($E134)), $E134-$D134, TODAY()-$D134)&gt;=6, IF(AND($E134&lt;&gt;"", ISNUMBER($E134)), $E134-$D134, TODAY()-$D134)&lt;=8), "Atenção", IF(IF(AND($E134&lt;&gt;"", ISNUMBER($E134)), $E134-$D134, TODAY()-$D134)=9, "Vence hoje", IF(IF(AND($E134&lt;&gt;"", ISNUMBER($E134)), $E134-$D134, TODAY()-$D134)&gt;=10, "Vencido","")))), "")</f>
        <v/>
      </c>
      <c r="H134" s="10"/>
      <c r="J134" s="17">
        <f t="shared" ca="1" si="6"/>
        <v>0</v>
      </c>
      <c r="K134" s="17" t="e">
        <f ca="1">IF(AND(#REF!&lt;&gt;"",#REF!&lt;&gt;"Fechado",#REF!&gt;=0,#REF!&lt;=5,$J134=1),1,0)</f>
        <v>#REF!</v>
      </c>
      <c r="L134" s="17" t="e">
        <f ca="1">IF(AND(#REF!&lt;&gt;"",#REF!&lt;&gt;"Fechado",#REF!&gt;=6,#REF!&lt;=8,$J134=1),1,0)</f>
        <v>#REF!</v>
      </c>
      <c r="M134" s="17" t="e">
        <f ca="1">IF(AND(#REF!&lt;&gt;"",#REF!&lt;&gt;"Fechado",#REF!=9,$J134=1),1,0)</f>
        <v>#REF!</v>
      </c>
      <c r="N134" s="17" t="e">
        <f ca="1">IF(AND(#REF!&lt;&gt;"",#REF!&lt;&gt;"Fechado",#REF!=10,$J134=1),1,0)</f>
        <v>#REF!</v>
      </c>
      <c r="O134" s="17" t="e">
        <f ca="1">IF(AND(#REF!&lt;&gt;"",#REF!&lt;&gt;"Fechado",#REF!&gt;10,$J134=1),1,0)</f>
        <v>#REF!</v>
      </c>
    </row>
    <row r="135" spans="2:15" ht="14.4" x14ac:dyDescent="0.3">
      <c r="B135" s="5"/>
      <c r="C135" s="6"/>
      <c r="D135" s="7"/>
      <c r="E135" s="7"/>
      <c r="F135" s="1" t="str">
        <f t="shared" ca="1" si="7"/>
        <v/>
      </c>
      <c r="G135" s="27" t="str">
        <f t="shared" ca="1" si="8"/>
        <v/>
      </c>
      <c r="H135" s="10"/>
      <c r="J135" s="17">
        <f t="shared" ca="1" si="6"/>
        <v>0</v>
      </c>
      <c r="K135" s="17" t="e">
        <f ca="1">IF(AND(#REF!&lt;&gt;"",#REF!&lt;&gt;"Fechado",#REF!&gt;=0,#REF!&lt;=5,$J135=1),1,0)</f>
        <v>#REF!</v>
      </c>
      <c r="L135" s="17" t="e">
        <f ca="1">IF(AND(#REF!&lt;&gt;"",#REF!&lt;&gt;"Fechado",#REF!&gt;=6,#REF!&lt;=8,$J135=1),1,0)</f>
        <v>#REF!</v>
      </c>
      <c r="M135" s="17" t="e">
        <f ca="1">IF(AND(#REF!&lt;&gt;"",#REF!&lt;&gt;"Fechado",#REF!=9,$J135=1),1,0)</f>
        <v>#REF!</v>
      </c>
      <c r="N135" s="17" t="e">
        <f ca="1">IF(AND(#REF!&lt;&gt;"",#REF!&lt;&gt;"Fechado",#REF!=10,$J135=1),1,0)</f>
        <v>#REF!</v>
      </c>
      <c r="O135" s="17" t="e">
        <f ca="1">IF(AND(#REF!&lt;&gt;"",#REF!&lt;&gt;"Fechado",#REF!&gt;10,$J135=1),1,0)</f>
        <v>#REF!</v>
      </c>
    </row>
    <row r="136" spans="2:15" ht="14.4" x14ac:dyDescent="0.3">
      <c r="B136" s="5"/>
      <c r="C136" s="6"/>
      <c r="D136" s="7"/>
      <c r="E136" s="7"/>
      <c r="F136" s="1" t="str">
        <f t="shared" ca="1" si="7"/>
        <v/>
      </c>
      <c r="G136" s="27" t="str">
        <f t="shared" ca="1" si="8"/>
        <v/>
      </c>
      <c r="H136" s="10"/>
      <c r="J136" s="17">
        <f t="shared" ca="1" si="6"/>
        <v>0</v>
      </c>
      <c r="K136" s="17" t="e">
        <f ca="1">IF(AND(#REF!&lt;&gt;"",#REF!&lt;&gt;"Fechado",#REF!&gt;=0,#REF!&lt;=5,$J136=1),1,0)</f>
        <v>#REF!</v>
      </c>
      <c r="L136" s="17" t="e">
        <f ca="1">IF(AND(#REF!&lt;&gt;"",#REF!&lt;&gt;"Fechado",#REF!&gt;=6,#REF!&lt;=8,$J136=1),1,0)</f>
        <v>#REF!</v>
      </c>
      <c r="M136" s="17" t="e">
        <f ca="1">IF(AND(#REF!&lt;&gt;"",#REF!&lt;&gt;"Fechado",#REF!=9,$J136=1),1,0)</f>
        <v>#REF!</v>
      </c>
      <c r="N136" s="17" t="e">
        <f ca="1">IF(AND(#REF!&lt;&gt;"",#REF!&lt;&gt;"Fechado",#REF!=10,$J136=1),1,0)</f>
        <v>#REF!</v>
      </c>
      <c r="O136" s="17" t="e">
        <f ca="1">IF(AND(#REF!&lt;&gt;"",#REF!&lt;&gt;"Fechado",#REF!&gt;10,$J136=1),1,0)</f>
        <v>#REF!</v>
      </c>
    </row>
    <row r="137" spans="2:15" ht="14.4" x14ac:dyDescent="0.3">
      <c r="B137" s="5"/>
      <c r="C137" s="6"/>
      <c r="D137" s="7"/>
      <c r="E137" s="7"/>
      <c r="F137" s="1" t="str">
        <f t="shared" ca="1" si="7"/>
        <v/>
      </c>
      <c r="G137" s="27" t="str">
        <f t="shared" ca="1" si="8"/>
        <v/>
      </c>
      <c r="H137" s="10"/>
      <c r="J137" s="17">
        <f t="shared" ca="1" si="6"/>
        <v>0</v>
      </c>
      <c r="K137" s="17" t="e">
        <f ca="1">IF(AND(#REF!&lt;&gt;"",#REF!&lt;&gt;"Fechado",#REF!&gt;=0,#REF!&lt;=5,$J137=1),1,0)</f>
        <v>#REF!</v>
      </c>
      <c r="L137" s="17" t="e">
        <f ca="1">IF(AND(#REF!&lt;&gt;"",#REF!&lt;&gt;"Fechado",#REF!&gt;=6,#REF!&lt;=8,$J137=1),1,0)</f>
        <v>#REF!</v>
      </c>
      <c r="M137" s="17" t="e">
        <f ca="1">IF(AND(#REF!&lt;&gt;"",#REF!&lt;&gt;"Fechado",#REF!=9,$J137=1),1,0)</f>
        <v>#REF!</v>
      </c>
      <c r="N137" s="17" t="e">
        <f ca="1">IF(AND(#REF!&lt;&gt;"",#REF!&lt;&gt;"Fechado",#REF!=10,$J137=1),1,0)</f>
        <v>#REF!</v>
      </c>
      <c r="O137" s="17" t="e">
        <f ca="1">IF(AND(#REF!&lt;&gt;"",#REF!&lt;&gt;"Fechado",#REF!&gt;10,$J137=1),1,0)</f>
        <v>#REF!</v>
      </c>
    </row>
    <row r="138" spans="2:15" ht="14.4" x14ac:dyDescent="0.3">
      <c r="B138" s="5"/>
      <c r="C138" s="6"/>
      <c r="D138" s="7"/>
      <c r="E138" s="7"/>
      <c r="F138" s="1" t="str">
        <f t="shared" ca="1" si="7"/>
        <v/>
      </c>
      <c r="G138" s="27" t="str">
        <f t="shared" ca="1" si="8"/>
        <v/>
      </c>
      <c r="H138" s="10"/>
      <c r="J138" s="17">
        <f t="shared" ref="J138:J177" ca="1" si="9">SUBTOTAL(103, OFFSET($B$6, ROW()-6, 0))</f>
        <v>0</v>
      </c>
      <c r="K138" s="17" t="e">
        <f ca="1">IF(AND(#REF!&lt;&gt;"",#REF!&lt;&gt;"Fechado",#REF!&gt;=0,#REF!&lt;=5,$J138=1),1,0)</f>
        <v>#REF!</v>
      </c>
      <c r="L138" s="17" t="e">
        <f ca="1">IF(AND(#REF!&lt;&gt;"",#REF!&lt;&gt;"Fechado",#REF!&gt;=6,#REF!&lt;=8,$J138=1),1,0)</f>
        <v>#REF!</v>
      </c>
      <c r="M138" s="17" t="e">
        <f ca="1">IF(AND(#REF!&lt;&gt;"",#REF!&lt;&gt;"Fechado",#REF!=9,$J138=1),1,0)</f>
        <v>#REF!</v>
      </c>
      <c r="N138" s="17" t="e">
        <f ca="1">IF(AND(#REF!&lt;&gt;"",#REF!&lt;&gt;"Fechado",#REF!=10,$J138=1),1,0)</f>
        <v>#REF!</v>
      </c>
      <c r="O138" s="17" t="e">
        <f ca="1">IF(AND(#REF!&lt;&gt;"",#REF!&lt;&gt;"Fechado",#REF!&gt;10,$J138=1),1,0)</f>
        <v>#REF!</v>
      </c>
    </row>
    <row r="139" spans="2:15" ht="14.4" x14ac:dyDescent="0.3">
      <c r="B139" s="5"/>
      <c r="C139" s="6"/>
      <c r="D139" s="7"/>
      <c r="E139" s="7"/>
      <c r="F139" s="1" t="str">
        <f t="shared" ca="1" si="7"/>
        <v/>
      </c>
      <c r="G139" s="27" t="str">
        <f t="shared" ca="1" si="8"/>
        <v/>
      </c>
      <c r="H139" s="10"/>
      <c r="J139" s="17">
        <f t="shared" ca="1" si="9"/>
        <v>0</v>
      </c>
      <c r="K139" s="17" t="e">
        <f ca="1">IF(AND(#REF!&lt;&gt;"",#REF!&lt;&gt;"Fechado",#REF!&gt;=0,#REF!&lt;=5,$J139=1),1,0)</f>
        <v>#REF!</v>
      </c>
      <c r="L139" s="17" t="e">
        <f ca="1">IF(AND(#REF!&lt;&gt;"",#REF!&lt;&gt;"Fechado",#REF!&gt;=6,#REF!&lt;=8,$J139=1),1,0)</f>
        <v>#REF!</v>
      </c>
      <c r="M139" s="17" t="e">
        <f ca="1">IF(AND(#REF!&lt;&gt;"",#REF!&lt;&gt;"Fechado",#REF!=9,$J139=1),1,0)</f>
        <v>#REF!</v>
      </c>
      <c r="N139" s="17" t="e">
        <f ca="1">IF(AND(#REF!&lt;&gt;"",#REF!&lt;&gt;"Fechado",#REF!=10,$J139=1),1,0)</f>
        <v>#REF!</v>
      </c>
      <c r="O139" s="17" t="e">
        <f ca="1">IF(AND(#REF!&lt;&gt;"",#REF!&lt;&gt;"Fechado",#REF!&gt;10,$J139=1),1,0)</f>
        <v>#REF!</v>
      </c>
    </row>
    <row r="140" spans="2:15" ht="14.4" x14ac:dyDescent="0.3">
      <c r="B140" s="5"/>
      <c r="C140" s="6"/>
      <c r="D140" s="7"/>
      <c r="E140" s="7"/>
      <c r="F140" s="1" t="str">
        <f t="shared" ca="1" si="7"/>
        <v/>
      </c>
      <c r="G140" s="27" t="str">
        <f t="shared" ca="1" si="8"/>
        <v/>
      </c>
      <c r="H140" s="10"/>
      <c r="J140" s="17">
        <f t="shared" ca="1" si="9"/>
        <v>0</v>
      </c>
      <c r="K140" s="17" t="e">
        <f ca="1">IF(AND(#REF!&lt;&gt;"",#REF!&lt;&gt;"Fechado",#REF!&gt;=0,#REF!&lt;=5,$J140=1),1,0)</f>
        <v>#REF!</v>
      </c>
      <c r="L140" s="17" t="e">
        <f ca="1">IF(AND(#REF!&lt;&gt;"",#REF!&lt;&gt;"Fechado",#REF!&gt;=6,#REF!&lt;=8,$J140=1),1,0)</f>
        <v>#REF!</v>
      </c>
      <c r="M140" s="17" t="e">
        <f ca="1">IF(AND(#REF!&lt;&gt;"",#REF!&lt;&gt;"Fechado",#REF!=9,$J140=1),1,0)</f>
        <v>#REF!</v>
      </c>
      <c r="N140" s="17" t="e">
        <f ca="1">IF(AND(#REF!&lt;&gt;"",#REF!&lt;&gt;"Fechado",#REF!=10,$J140=1),1,0)</f>
        <v>#REF!</v>
      </c>
      <c r="O140" s="17" t="e">
        <f ca="1">IF(AND(#REF!&lt;&gt;"",#REF!&lt;&gt;"Fechado",#REF!&gt;10,$J140=1),1,0)</f>
        <v>#REF!</v>
      </c>
    </row>
    <row r="141" spans="2:15" ht="14.4" x14ac:dyDescent="0.3">
      <c r="B141" s="5"/>
      <c r="C141" s="6"/>
      <c r="D141" s="7"/>
      <c r="E141" s="7"/>
      <c r="F141" s="1" t="str">
        <f t="shared" ca="1" si="7"/>
        <v/>
      </c>
      <c r="G141" s="27" t="str">
        <f t="shared" ca="1" si="8"/>
        <v/>
      </c>
      <c r="H141" s="10"/>
      <c r="J141" s="17">
        <f t="shared" ca="1" si="9"/>
        <v>0</v>
      </c>
      <c r="K141" s="17" t="e">
        <f ca="1">IF(AND(#REF!&lt;&gt;"",#REF!&lt;&gt;"Fechado",#REF!&gt;=0,#REF!&lt;=5,$J141=1),1,0)</f>
        <v>#REF!</v>
      </c>
      <c r="L141" s="17" t="e">
        <f ca="1">IF(AND(#REF!&lt;&gt;"",#REF!&lt;&gt;"Fechado",#REF!&gt;=6,#REF!&lt;=8,$J141=1),1,0)</f>
        <v>#REF!</v>
      </c>
      <c r="M141" s="17" t="e">
        <f ca="1">IF(AND(#REF!&lt;&gt;"",#REF!&lt;&gt;"Fechado",#REF!=9,$J141=1),1,0)</f>
        <v>#REF!</v>
      </c>
      <c r="N141" s="17" t="e">
        <f ca="1">IF(AND(#REF!&lt;&gt;"",#REF!&lt;&gt;"Fechado",#REF!=10,$J141=1),1,0)</f>
        <v>#REF!</v>
      </c>
      <c r="O141" s="17" t="e">
        <f ca="1">IF(AND(#REF!&lt;&gt;"",#REF!&lt;&gt;"Fechado",#REF!&gt;10,$J141=1),1,0)</f>
        <v>#REF!</v>
      </c>
    </row>
    <row r="142" spans="2:15" ht="14.4" x14ac:dyDescent="0.3">
      <c r="B142" s="5"/>
      <c r="C142" s="6"/>
      <c r="D142" s="7"/>
      <c r="E142" s="7"/>
      <c r="F142" s="1" t="str">
        <f t="shared" ca="1" si="7"/>
        <v/>
      </c>
      <c r="G142" s="27" t="str">
        <f t="shared" ca="1" si="8"/>
        <v/>
      </c>
      <c r="H142" s="10"/>
      <c r="J142" s="17">
        <f t="shared" ca="1" si="9"/>
        <v>0</v>
      </c>
      <c r="K142" s="17" t="e">
        <f ca="1">IF(AND(#REF!&lt;&gt;"",#REF!&lt;&gt;"Fechado",#REF!&gt;=0,#REF!&lt;=5,$J142=1),1,0)</f>
        <v>#REF!</v>
      </c>
      <c r="L142" s="17" t="e">
        <f ca="1">IF(AND(#REF!&lt;&gt;"",#REF!&lt;&gt;"Fechado",#REF!&gt;=6,#REF!&lt;=8,$J142=1),1,0)</f>
        <v>#REF!</v>
      </c>
      <c r="M142" s="17" t="e">
        <f ca="1">IF(AND(#REF!&lt;&gt;"",#REF!&lt;&gt;"Fechado",#REF!=9,$J142=1),1,0)</f>
        <v>#REF!</v>
      </c>
      <c r="N142" s="17" t="e">
        <f ca="1">IF(AND(#REF!&lt;&gt;"",#REF!&lt;&gt;"Fechado",#REF!=10,$J142=1),1,0)</f>
        <v>#REF!</v>
      </c>
      <c r="O142" s="17" t="e">
        <f ca="1">IF(AND(#REF!&lt;&gt;"",#REF!&lt;&gt;"Fechado",#REF!&gt;10,$J142=1),1,0)</f>
        <v>#REF!</v>
      </c>
    </row>
    <row r="143" spans="2:15" ht="14.4" x14ac:dyDescent="0.3">
      <c r="B143" s="5"/>
      <c r="C143" s="6"/>
      <c r="D143" s="7"/>
      <c r="E143" s="7"/>
      <c r="F143" s="1" t="str">
        <f t="shared" ca="1" si="7"/>
        <v/>
      </c>
      <c r="G143" s="27" t="str">
        <f t="shared" ca="1" si="8"/>
        <v/>
      </c>
      <c r="H143" s="10"/>
      <c r="J143" s="17">
        <f t="shared" ca="1" si="9"/>
        <v>0</v>
      </c>
      <c r="K143" s="17" t="e">
        <f ca="1">IF(AND(#REF!&lt;&gt;"",#REF!&lt;&gt;"Fechado",#REF!&gt;=0,#REF!&lt;=5,$J143=1),1,0)</f>
        <v>#REF!</v>
      </c>
      <c r="L143" s="17" t="e">
        <f ca="1">IF(AND(#REF!&lt;&gt;"",#REF!&lt;&gt;"Fechado",#REF!&gt;=6,#REF!&lt;=8,$J143=1),1,0)</f>
        <v>#REF!</v>
      </c>
      <c r="M143" s="17" t="e">
        <f ca="1">IF(AND(#REF!&lt;&gt;"",#REF!&lt;&gt;"Fechado",#REF!=9,$J143=1),1,0)</f>
        <v>#REF!</v>
      </c>
      <c r="N143" s="17" t="e">
        <f ca="1">IF(AND(#REF!&lt;&gt;"",#REF!&lt;&gt;"Fechado",#REF!=10,$J143=1),1,0)</f>
        <v>#REF!</v>
      </c>
      <c r="O143" s="17" t="e">
        <f ca="1">IF(AND(#REF!&lt;&gt;"",#REF!&lt;&gt;"Fechado",#REF!&gt;10,$J143=1),1,0)</f>
        <v>#REF!</v>
      </c>
    </row>
    <row r="144" spans="2:15" ht="14.4" x14ac:dyDescent="0.3">
      <c r="B144" s="5"/>
      <c r="C144" s="6"/>
      <c r="D144" s="7"/>
      <c r="E144" s="7"/>
      <c r="F144" s="1" t="str">
        <f t="shared" ca="1" si="7"/>
        <v/>
      </c>
      <c r="G144" s="27" t="str">
        <f t="shared" ca="1" si="8"/>
        <v/>
      </c>
      <c r="H144" s="10"/>
      <c r="J144" s="17">
        <f t="shared" ca="1" si="9"/>
        <v>0</v>
      </c>
      <c r="K144" s="17" t="e">
        <f ca="1">IF(AND(#REF!&lt;&gt;"",#REF!&lt;&gt;"Fechado",#REF!&gt;=0,#REF!&lt;=5,$J144=1),1,0)</f>
        <v>#REF!</v>
      </c>
      <c r="L144" s="17" t="e">
        <f ca="1">IF(AND(#REF!&lt;&gt;"",#REF!&lt;&gt;"Fechado",#REF!&gt;=6,#REF!&lt;=8,$J144=1),1,0)</f>
        <v>#REF!</v>
      </c>
      <c r="M144" s="17" t="e">
        <f ca="1">IF(AND(#REF!&lt;&gt;"",#REF!&lt;&gt;"Fechado",#REF!=9,$J144=1),1,0)</f>
        <v>#REF!</v>
      </c>
      <c r="N144" s="17" t="e">
        <f ca="1">IF(AND(#REF!&lt;&gt;"",#REF!&lt;&gt;"Fechado",#REF!=10,$J144=1),1,0)</f>
        <v>#REF!</v>
      </c>
      <c r="O144" s="17" t="e">
        <f ca="1">IF(AND(#REF!&lt;&gt;"",#REF!&lt;&gt;"Fechado",#REF!&gt;10,$J144=1),1,0)</f>
        <v>#REF!</v>
      </c>
    </row>
    <row r="145" spans="2:15" ht="14.4" x14ac:dyDescent="0.3">
      <c r="B145" s="5"/>
      <c r="C145" s="6"/>
      <c r="D145" s="7"/>
      <c r="E145" s="7"/>
      <c r="F145" s="1" t="str">
        <f t="shared" ca="1" si="7"/>
        <v/>
      </c>
      <c r="G145" s="27" t="str">
        <f t="shared" ca="1" si="8"/>
        <v/>
      </c>
      <c r="H145" s="10"/>
      <c r="J145" s="17">
        <f t="shared" ca="1" si="9"/>
        <v>0</v>
      </c>
      <c r="K145" s="17" t="e">
        <f ca="1">IF(AND(#REF!&lt;&gt;"",#REF!&lt;&gt;"Fechado",#REF!&gt;=0,#REF!&lt;=5,$J145=1),1,0)</f>
        <v>#REF!</v>
      </c>
      <c r="L145" s="17" t="e">
        <f ca="1">IF(AND(#REF!&lt;&gt;"",#REF!&lt;&gt;"Fechado",#REF!&gt;=6,#REF!&lt;=8,$J145=1),1,0)</f>
        <v>#REF!</v>
      </c>
      <c r="M145" s="17" t="e">
        <f ca="1">IF(AND(#REF!&lt;&gt;"",#REF!&lt;&gt;"Fechado",#REF!=9,$J145=1),1,0)</f>
        <v>#REF!</v>
      </c>
      <c r="N145" s="17" t="e">
        <f ca="1">IF(AND(#REF!&lt;&gt;"",#REF!&lt;&gt;"Fechado",#REF!=10,$J145=1),1,0)</f>
        <v>#REF!</v>
      </c>
      <c r="O145" s="17" t="e">
        <f ca="1">IF(AND(#REF!&lt;&gt;"",#REF!&lt;&gt;"Fechado",#REF!&gt;10,$J145=1),1,0)</f>
        <v>#REF!</v>
      </c>
    </row>
    <row r="146" spans="2:15" ht="14.4" x14ac:dyDescent="0.3">
      <c r="B146" s="5"/>
      <c r="C146" s="6"/>
      <c r="D146" s="7"/>
      <c r="E146" s="7"/>
      <c r="F146" s="1" t="str">
        <f t="shared" ca="1" si="7"/>
        <v/>
      </c>
      <c r="G146" s="27" t="str">
        <f t="shared" ca="1" si="8"/>
        <v/>
      </c>
      <c r="H146" s="10"/>
      <c r="J146" s="17">
        <f t="shared" ca="1" si="9"/>
        <v>0</v>
      </c>
      <c r="K146" s="17" t="e">
        <f ca="1">IF(AND(#REF!&lt;&gt;"",#REF!&lt;&gt;"Fechado",#REF!&gt;=0,#REF!&lt;=5,$J146=1),1,0)</f>
        <v>#REF!</v>
      </c>
      <c r="L146" s="17" t="e">
        <f ca="1">IF(AND(#REF!&lt;&gt;"",#REF!&lt;&gt;"Fechado",#REF!&gt;=6,#REF!&lt;=8,$J146=1),1,0)</f>
        <v>#REF!</v>
      </c>
      <c r="M146" s="17" t="e">
        <f ca="1">IF(AND(#REF!&lt;&gt;"",#REF!&lt;&gt;"Fechado",#REF!=9,$J146=1),1,0)</f>
        <v>#REF!</v>
      </c>
      <c r="N146" s="17" t="e">
        <f ca="1">IF(AND(#REF!&lt;&gt;"",#REF!&lt;&gt;"Fechado",#REF!=10,$J146=1),1,0)</f>
        <v>#REF!</v>
      </c>
      <c r="O146" s="17" t="e">
        <f ca="1">IF(AND(#REF!&lt;&gt;"",#REF!&lt;&gt;"Fechado",#REF!&gt;10,$J146=1),1,0)</f>
        <v>#REF!</v>
      </c>
    </row>
    <row r="147" spans="2:15" ht="14.4" x14ac:dyDescent="0.3">
      <c r="B147" s="5"/>
      <c r="C147" s="6"/>
      <c r="D147" s="7"/>
      <c r="E147" s="7"/>
      <c r="F147" s="1" t="str">
        <f t="shared" ca="1" si="7"/>
        <v/>
      </c>
      <c r="G147" s="27" t="str">
        <f t="shared" ca="1" si="8"/>
        <v/>
      </c>
      <c r="H147" s="10"/>
      <c r="J147" s="17">
        <f t="shared" ca="1" si="9"/>
        <v>0</v>
      </c>
      <c r="K147" s="17" t="e">
        <f ca="1">IF(AND(#REF!&lt;&gt;"",#REF!&lt;&gt;"Fechado",#REF!&gt;=0,#REF!&lt;=5,$J147=1),1,0)</f>
        <v>#REF!</v>
      </c>
      <c r="L147" s="17" t="e">
        <f ca="1">IF(AND(#REF!&lt;&gt;"",#REF!&lt;&gt;"Fechado",#REF!&gt;=6,#REF!&lt;=8,$J147=1),1,0)</f>
        <v>#REF!</v>
      </c>
      <c r="M147" s="17" t="e">
        <f ca="1">IF(AND(#REF!&lt;&gt;"",#REF!&lt;&gt;"Fechado",#REF!=9,$J147=1),1,0)</f>
        <v>#REF!</v>
      </c>
      <c r="N147" s="17" t="e">
        <f ca="1">IF(AND(#REF!&lt;&gt;"",#REF!&lt;&gt;"Fechado",#REF!=10,$J147=1),1,0)</f>
        <v>#REF!</v>
      </c>
      <c r="O147" s="17" t="e">
        <f ca="1">IF(AND(#REF!&lt;&gt;"",#REF!&lt;&gt;"Fechado",#REF!&gt;10,$J147=1),1,0)</f>
        <v>#REF!</v>
      </c>
    </row>
    <row r="148" spans="2:15" ht="14.4" x14ac:dyDescent="0.3">
      <c r="B148" s="5"/>
      <c r="C148" s="6"/>
      <c r="D148" s="7"/>
      <c r="E148" s="7"/>
      <c r="F148" s="1" t="str">
        <f t="shared" ca="1" si="7"/>
        <v/>
      </c>
      <c r="G148" s="27" t="str">
        <f t="shared" ca="1" si="8"/>
        <v/>
      </c>
      <c r="H148" s="10"/>
      <c r="J148" s="17">
        <f t="shared" ca="1" si="9"/>
        <v>0</v>
      </c>
      <c r="K148" s="17" t="e">
        <f ca="1">IF(AND(#REF!&lt;&gt;"",#REF!&lt;&gt;"Fechado",#REF!&gt;=0,#REF!&lt;=5,$J148=1),1,0)</f>
        <v>#REF!</v>
      </c>
      <c r="L148" s="17" t="e">
        <f ca="1">IF(AND(#REF!&lt;&gt;"",#REF!&lt;&gt;"Fechado",#REF!&gt;=6,#REF!&lt;=8,$J148=1),1,0)</f>
        <v>#REF!</v>
      </c>
      <c r="M148" s="17" t="e">
        <f ca="1">IF(AND(#REF!&lt;&gt;"",#REF!&lt;&gt;"Fechado",#REF!=9,$J148=1),1,0)</f>
        <v>#REF!</v>
      </c>
      <c r="N148" s="17" t="e">
        <f ca="1">IF(AND(#REF!&lt;&gt;"",#REF!&lt;&gt;"Fechado",#REF!=10,$J148=1),1,0)</f>
        <v>#REF!</v>
      </c>
      <c r="O148" s="17" t="e">
        <f ca="1">IF(AND(#REF!&lt;&gt;"",#REF!&lt;&gt;"Fechado",#REF!&gt;10,$J148=1),1,0)</f>
        <v>#REF!</v>
      </c>
    </row>
    <row r="149" spans="2:15" ht="14.4" x14ac:dyDescent="0.3">
      <c r="B149" s="5"/>
      <c r="C149" s="6"/>
      <c r="D149" s="7"/>
      <c r="E149" s="7"/>
      <c r="F149" s="1" t="str">
        <f t="shared" ref="F149:F177" ca="1" si="10">IF(AND($D149&lt;&gt;"", ISNUMBER($D149)), IF(AND($E149&lt;&gt;"", ISNUMBER($E149)), $E149-$D149, TODAY()-$D149), "")</f>
        <v/>
      </c>
      <c r="G149" s="27" t="str">
        <f t="shared" ca="1" si="8"/>
        <v/>
      </c>
      <c r="H149" s="10"/>
      <c r="J149" s="17">
        <f t="shared" ca="1" si="9"/>
        <v>0</v>
      </c>
      <c r="K149" s="17" t="e">
        <f ca="1">IF(AND(#REF!&lt;&gt;"",#REF!&lt;&gt;"Fechado",#REF!&gt;=0,#REF!&lt;=5,$J149=1),1,0)</f>
        <v>#REF!</v>
      </c>
      <c r="L149" s="17" t="e">
        <f ca="1">IF(AND(#REF!&lt;&gt;"",#REF!&lt;&gt;"Fechado",#REF!&gt;=6,#REF!&lt;=8,$J149=1),1,0)</f>
        <v>#REF!</v>
      </c>
      <c r="M149" s="17" t="e">
        <f ca="1">IF(AND(#REF!&lt;&gt;"",#REF!&lt;&gt;"Fechado",#REF!=9,$J149=1),1,0)</f>
        <v>#REF!</v>
      </c>
      <c r="N149" s="17" t="e">
        <f ca="1">IF(AND(#REF!&lt;&gt;"",#REF!&lt;&gt;"Fechado",#REF!=10,$J149=1),1,0)</f>
        <v>#REF!</v>
      </c>
      <c r="O149" s="17" t="e">
        <f ca="1">IF(AND(#REF!&lt;&gt;"",#REF!&lt;&gt;"Fechado",#REF!&gt;10,$J149=1),1,0)</f>
        <v>#REF!</v>
      </c>
    </row>
    <row r="150" spans="2:15" ht="14.4" x14ac:dyDescent="0.3">
      <c r="B150" s="5"/>
      <c r="C150" s="6"/>
      <c r="D150" s="7"/>
      <c r="E150" s="7"/>
      <c r="F150" s="1" t="str">
        <f t="shared" ca="1" si="10"/>
        <v/>
      </c>
      <c r="G150" s="27" t="str">
        <f t="shared" ca="1" si="8"/>
        <v/>
      </c>
      <c r="H150" s="10"/>
      <c r="J150" s="17">
        <f t="shared" ca="1" si="9"/>
        <v>0</v>
      </c>
      <c r="K150" s="17" t="e">
        <f ca="1">IF(AND(#REF!&lt;&gt;"",#REF!&lt;&gt;"Fechado",#REF!&gt;=0,#REF!&lt;=5,$J150=1),1,0)</f>
        <v>#REF!</v>
      </c>
      <c r="L150" s="17" t="e">
        <f ca="1">IF(AND(#REF!&lt;&gt;"",#REF!&lt;&gt;"Fechado",#REF!&gt;=6,#REF!&lt;=8,$J150=1),1,0)</f>
        <v>#REF!</v>
      </c>
      <c r="M150" s="17" t="e">
        <f ca="1">IF(AND(#REF!&lt;&gt;"",#REF!&lt;&gt;"Fechado",#REF!=9,$J150=1),1,0)</f>
        <v>#REF!</v>
      </c>
      <c r="N150" s="17" t="e">
        <f ca="1">IF(AND(#REF!&lt;&gt;"",#REF!&lt;&gt;"Fechado",#REF!=10,$J150=1),1,0)</f>
        <v>#REF!</v>
      </c>
      <c r="O150" s="17" t="e">
        <f ca="1">IF(AND(#REF!&lt;&gt;"",#REF!&lt;&gt;"Fechado",#REF!&gt;10,$J150=1),1,0)</f>
        <v>#REF!</v>
      </c>
    </row>
    <row r="151" spans="2:15" ht="14.4" x14ac:dyDescent="0.3">
      <c r="B151" s="5"/>
      <c r="C151" s="6"/>
      <c r="D151" s="7"/>
      <c r="E151" s="7"/>
      <c r="F151" s="1" t="str">
        <f t="shared" ca="1" si="10"/>
        <v/>
      </c>
      <c r="G151" s="27" t="str">
        <f t="shared" ca="1" si="8"/>
        <v/>
      </c>
      <c r="H151" s="10"/>
      <c r="J151" s="17">
        <f t="shared" ca="1" si="9"/>
        <v>0</v>
      </c>
      <c r="K151" s="17" t="e">
        <f ca="1">IF(AND(#REF!&lt;&gt;"",#REF!&lt;&gt;"Fechado",#REF!&gt;=0,#REF!&lt;=5,$J151=1),1,0)</f>
        <v>#REF!</v>
      </c>
      <c r="L151" s="17" t="e">
        <f ca="1">IF(AND(#REF!&lt;&gt;"",#REF!&lt;&gt;"Fechado",#REF!&gt;=6,#REF!&lt;=8,$J151=1),1,0)</f>
        <v>#REF!</v>
      </c>
      <c r="M151" s="17" t="e">
        <f ca="1">IF(AND(#REF!&lt;&gt;"",#REF!&lt;&gt;"Fechado",#REF!=9,$J151=1),1,0)</f>
        <v>#REF!</v>
      </c>
      <c r="N151" s="17" t="e">
        <f ca="1">IF(AND(#REF!&lt;&gt;"",#REF!&lt;&gt;"Fechado",#REF!=10,$J151=1),1,0)</f>
        <v>#REF!</v>
      </c>
      <c r="O151" s="17" t="e">
        <f ca="1">IF(AND(#REF!&lt;&gt;"",#REF!&lt;&gt;"Fechado",#REF!&gt;10,$J151=1),1,0)</f>
        <v>#REF!</v>
      </c>
    </row>
    <row r="152" spans="2:15" ht="14.4" x14ac:dyDescent="0.3">
      <c r="B152" s="5"/>
      <c r="C152" s="6"/>
      <c r="D152" s="7"/>
      <c r="E152" s="7"/>
      <c r="F152" s="1" t="str">
        <f t="shared" ca="1" si="10"/>
        <v/>
      </c>
      <c r="G152" s="27" t="str">
        <f t="shared" ca="1" si="8"/>
        <v/>
      </c>
      <c r="H152" s="10"/>
      <c r="J152" s="17">
        <f t="shared" ca="1" si="9"/>
        <v>0</v>
      </c>
      <c r="K152" s="17" t="e">
        <f ca="1">IF(AND(#REF!&lt;&gt;"",#REF!&lt;&gt;"Fechado",#REF!&gt;=0,#REF!&lt;=5,$J152=1),1,0)</f>
        <v>#REF!</v>
      </c>
      <c r="L152" s="17" t="e">
        <f ca="1">IF(AND(#REF!&lt;&gt;"",#REF!&lt;&gt;"Fechado",#REF!&gt;=6,#REF!&lt;=8,$J152=1),1,0)</f>
        <v>#REF!</v>
      </c>
      <c r="M152" s="17" t="e">
        <f ca="1">IF(AND(#REF!&lt;&gt;"",#REF!&lt;&gt;"Fechado",#REF!=9,$J152=1),1,0)</f>
        <v>#REF!</v>
      </c>
      <c r="N152" s="17" t="e">
        <f ca="1">IF(AND(#REF!&lt;&gt;"",#REF!&lt;&gt;"Fechado",#REF!=10,$J152=1),1,0)</f>
        <v>#REF!</v>
      </c>
      <c r="O152" s="17" t="e">
        <f ca="1">IF(AND(#REF!&lt;&gt;"",#REF!&lt;&gt;"Fechado",#REF!&gt;10,$J152=1),1,0)</f>
        <v>#REF!</v>
      </c>
    </row>
    <row r="153" spans="2:15" ht="14.4" x14ac:dyDescent="0.3">
      <c r="B153" s="5"/>
      <c r="C153" s="6"/>
      <c r="D153" s="7"/>
      <c r="E153" s="7"/>
      <c r="F153" s="1" t="str">
        <f t="shared" ca="1" si="10"/>
        <v/>
      </c>
      <c r="G153" s="27" t="str">
        <f t="shared" ca="1" si="8"/>
        <v/>
      </c>
      <c r="H153" s="10"/>
      <c r="J153" s="17">
        <f t="shared" ca="1" si="9"/>
        <v>0</v>
      </c>
      <c r="K153" s="17" t="e">
        <f ca="1">IF(AND(#REF!&lt;&gt;"",#REF!&lt;&gt;"Fechado",#REF!&gt;=0,#REF!&lt;=5,$J153=1),1,0)</f>
        <v>#REF!</v>
      </c>
      <c r="L153" s="17" t="e">
        <f ca="1">IF(AND(#REF!&lt;&gt;"",#REF!&lt;&gt;"Fechado",#REF!&gt;=6,#REF!&lt;=8,$J153=1),1,0)</f>
        <v>#REF!</v>
      </c>
      <c r="M153" s="17" t="e">
        <f ca="1">IF(AND(#REF!&lt;&gt;"",#REF!&lt;&gt;"Fechado",#REF!=9,$J153=1),1,0)</f>
        <v>#REF!</v>
      </c>
      <c r="N153" s="17" t="e">
        <f ca="1">IF(AND(#REF!&lt;&gt;"",#REF!&lt;&gt;"Fechado",#REF!=10,$J153=1),1,0)</f>
        <v>#REF!</v>
      </c>
      <c r="O153" s="17" t="e">
        <f ca="1">IF(AND(#REF!&lt;&gt;"",#REF!&lt;&gt;"Fechado",#REF!&gt;10,$J153=1),1,0)</f>
        <v>#REF!</v>
      </c>
    </row>
    <row r="154" spans="2:15" ht="14.4" x14ac:dyDescent="0.3">
      <c r="B154" s="5"/>
      <c r="C154" s="6"/>
      <c r="D154" s="7"/>
      <c r="E154" s="7"/>
      <c r="F154" s="1" t="str">
        <f t="shared" ca="1" si="10"/>
        <v/>
      </c>
      <c r="G154" s="27" t="str">
        <f t="shared" ca="1" si="8"/>
        <v/>
      </c>
      <c r="H154" s="10"/>
      <c r="J154" s="17">
        <f t="shared" ca="1" si="9"/>
        <v>0</v>
      </c>
      <c r="K154" s="17" t="e">
        <f ca="1">IF(AND(#REF!&lt;&gt;"",#REF!&lt;&gt;"Fechado",#REF!&gt;=0,#REF!&lt;=5,$J154=1),1,0)</f>
        <v>#REF!</v>
      </c>
      <c r="L154" s="17" t="e">
        <f ca="1">IF(AND(#REF!&lt;&gt;"",#REF!&lt;&gt;"Fechado",#REF!&gt;=6,#REF!&lt;=8,$J154=1),1,0)</f>
        <v>#REF!</v>
      </c>
      <c r="M154" s="17" t="e">
        <f ca="1">IF(AND(#REF!&lt;&gt;"",#REF!&lt;&gt;"Fechado",#REF!=9,$J154=1),1,0)</f>
        <v>#REF!</v>
      </c>
      <c r="N154" s="17" t="e">
        <f ca="1">IF(AND(#REF!&lt;&gt;"",#REF!&lt;&gt;"Fechado",#REF!=10,$J154=1),1,0)</f>
        <v>#REF!</v>
      </c>
      <c r="O154" s="17" t="e">
        <f ca="1">IF(AND(#REF!&lt;&gt;"",#REF!&lt;&gt;"Fechado",#REF!&gt;10,$J154=1),1,0)</f>
        <v>#REF!</v>
      </c>
    </row>
    <row r="155" spans="2:15" ht="14.4" x14ac:dyDescent="0.3">
      <c r="B155" s="5"/>
      <c r="C155" s="6"/>
      <c r="D155" s="7"/>
      <c r="E155" s="7"/>
      <c r="F155" s="1" t="str">
        <f t="shared" ca="1" si="10"/>
        <v/>
      </c>
      <c r="G155" s="27" t="str">
        <f t="shared" ca="1" si="8"/>
        <v/>
      </c>
      <c r="H155" s="10"/>
      <c r="J155" s="17">
        <f t="shared" ca="1" si="9"/>
        <v>0</v>
      </c>
      <c r="K155" s="17" t="e">
        <f ca="1">IF(AND(#REF!&lt;&gt;"",#REF!&lt;&gt;"Fechado",#REF!&gt;=0,#REF!&lt;=5,$J155=1),1,0)</f>
        <v>#REF!</v>
      </c>
      <c r="L155" s="17" t="e">
        <f ca="1">IF(AND(#REF!&lt;&gt;"",#REF!&lt;&gt;"Fechado",#REF!&gt;=6,#REF!&lt;=8,$J155=1),1,0)</f>
        <v>#REF!</v>
      </c>
      <c r="M155" s="17" t="e">
        <f ca="1">IF(AND(#REF!&lt;&gt;"",#REF!&lt;&gt;"Fechado",#REF!=9,$J155=1),1,0)</f>
        <v>#REF!</v>
      </c>
      <c r="N155" s="17" t="e">
        <f ca="1">IF(AND(#REF!&lt;&gt;"",#REF!&lt;&gt;"Fechado",#REF!=10,$J155=1),1,0)</f>
        <v>#REF!</v>
      </c>
      <c r="O155" s="17" t="e">
        <f ca="1">IF(AND(#REF!&lt;&gt;"",#REF!&lt;&gt;"Fechado",#REF!&gt;10,$J155=1),1,0)</f>
        <v>#REF!</v>
      </c>
    </row>
    <row r="156" spans="2:15" ht="14.4" x14ac:dyDescent="0.3">
      <c r="B156" s="5"/>
      <c r="C156" s="6"/>
      <c r="D156" s="7"/>
      <c r="E156" s="7"/>
      <c r="F156" s="1" t="str">
        <f t="shared" ca="1" si="10"/>
        <v/>
      </c>
      <c r="G156" s="27" t="str">
        <f t="shared" ca="1" si="8"/>
        <v/>
      </c>
      <c r="H156" s="10"/>
      <c r="J156" s="17">
        <f t="shared" ca="1" si="9"/>
        <v>0</v>
      </c>
      <c r="K156" s="17" t="e">
        <f ca="1">IF(AND(#REF!&lt;&gt;"",#REF!&lt;&gt;"Fechado",#REF!&gt;=0,#REF!&lt;=5,$J156=1),1,0)</f>
        <v>#REF!</v>
      </c>
      <c r="L156" s="17" t="e">
        <f ca="1">IF(AND(#REF!&lt;&gt;"",#REF!&lt;&gt;"Fechado",#REF!&gt;=6,#REF!&lt;=8,$J156=1),1,0)</f>
        <v>#REF!</v>
      </c>
      <c r="M156" s="17" t="e">
        <f ca="1">IF(AND(#REF!&lt;&gt;"",#REF!&lt;&gt;"Fechado",#REF!=9,$J156=1),1,0)</f>
        <v>#REF!</v>
      </c>
      <c r="N156" s="17" t="e">
        <f ca="1">IF(AND(#REF!&lt;&gt;"",#REF!&lt;&gt;"Fechado",#REF!=10,$J156=1),1,0)</f>
        <v>#REF!</v>
      </c>
      <c r="O156" s="17" t="e">
        <f ca="1">IF(AND(#REF!&lt;&gt;"",#REF!&lt;&gt;"Fechado",#REF!&gt;10,$J156=1),1,0)</f>
        <v>#REF!</v>
      </c>
    </row>
    <row r="157" spans="2:15" ht="14.4" x14ac:dyDescent="0.3">
      <c r="B157" s="5"/>
      <c r="C157" s="6"/>
      <c r="D157" s="7"/>
      <c r="E157" s="7"/>
      <c r="F157" s="1" t="str">
        <f t="shared" ca="1" si="10"/>
        <v/>
      </c>
      <c r="G157" s="27" t="str">
        <f t="shared" ca="1" si="8"/>
        <v/>
      </c>
      <c r="H157" s="10"/>
      <c r="J157" s="17">
        <f t="shared" ca="1" si="9"/>
        <v>0</v>
      </c>
      <c r="K157" s="17" t="e">
        <f ca="1">IF(AND(#REF!&lt;&gt;"",#REF!&lt;&gt;"Fechado",#REF!&gt;=0,#REF!&lt;=5,$J157=1),1,0)</f>
        <v>#REF!</v>
      </c>
      <c r="L157" s="17" t="e">
        <f ca="1">IF(AND(#REF!&lt;&gt;"",#REF!&lt;&gt;"Fechado",#REF!&gt;=6,#REF!&lt;=8,$J157=1),1,0)</f>
        <v>#REF!</v>
      </c>
      <c r="M157" s="17" t="e">
        <f ca="1">IF(AND(#REF!&lt;&gt;"",#REF!&lt;&gt;"Fechado",#REF!=9,$J157=1),1,0)</f>
        <v>#REF!</v>
      </c>
      <c r="N157" s="17" t="e">
        <f ca="1">IF(AND(#REF!&lt;&gt;"",#REF!&lt;&gt;"Fechado",#REF!=10,$J157=1),1,0)</f>
        <v>#REF!</v>
      </c>
      <c r="O157" s="17" t="e">
        <f ca="1">IF(AND(#REF!&lt;&gt;"",#REF!&lt;&gt;"Fechado",#REF!&gt;10,$J157=1),1,0)</f>
        <v>#REF!</v>
      </c>
    </row>
    <row r="158" spans="2:15" ht="14.4" x14ac:dyDescent="0.3">
      <c r="B158" s="5"/>
      <c r="C158" s="6"/>
      <c r="D158" s="7"/>
      <c r="E158" s="7"/>
      <c r="F158" s="1" t="str">
        <f t="shared" ca="1" si="10"/>
        <v/>
      </c>
      <c r="G158" s="27" t="str">
        <f t="shared" ca="1" si="8"/>
        <v/>
      </c>
      <c r="H158" s="10"/>
      <c r="J158" s="17">
        <f t="shared" ca="1" si="9"/>
        <v>0</v>
      </c>
      <c r="K158" s="17" t="e">
        <f ca="1">IF(AND(#REF!&lt;&gt;"",#REF!&lt;&gt;"Fechado",#REF!&gt;=0,#REF!&lt;=5,$J158=1),1,0)</f>
        <v>#REF!</v>
      </c>
      <c r="L158" s="17" t="e">
        <f ca="1">IF(AND(#REF!&lt;&gt;"",#REF!&lt;&gt;"Fechado",#REF!&gt;=6,#REF!&lt;=8,$J158=1),1,0)</f>
        <v>#REF!</v>
      </c>
      <c r="M158" s="17" t="e">
        <f ca="1">IF(AND(#REF!&lt;&gt;"",#REF!&lt;&gt;"Fechado",#REF!=9,$J158=1),1,0)</f>
        <v>#REF!</v>
      </c>
      <c r="N158" s="17" t="e">
        <f ca="1">IF(AND(#REF!&lt;&gt;"",#REF!&lt;&gt;"Fechado",#REF!=10,$J158=1),1,0)</f>
        <v>#REF!</v>
      </c>
      <c r="O158" s="17" t="e">
        <f ca="1">IF(AND(#REF!&lt;&gt;"",#REF!&lt;&gt;"Fechado",#REF!&gt;10,$J158=1),1,0)</f>
        <v>#REF!</v>
      </c>
    </row>
    <row r="159" spans="2:15" ht="14.4" x14ac:dyDescent="0.3">
      <c r="B159" s="5"/>
      <c r="C159" s="6"/>
      <c r="D159" s="7"/>
      <c r="E159" s="7"/>
      <c r="F159" s="1" t="str">
        <f t="shared" ca="1" si="10"/>
        <v/>
      </c>
      <c r="G159" s="27" t="str">
        <f t="shared" ca="1" si="8"/>
        <v/>
      </c>
      <c r="H159" s="10"/>
      <c r="J159" s="17">
        <f t="shared" ca="1" si="9"/>
        <v>0</v>
      </c>
      <c r="K159" s="17" t="e">
        <f ca="1">IF(AND(#REF!&lt;&gt;"",#REF!&lt;&gt;"Fechado",#REF!&gt;=0,#REF!&lt;=5,$J159=1),1,0)</f>
        <v>#REF!</v>
      </c>
      <c r="L159" s="17" t="e">
        <f ca="1">IF(AND(#REF!&lt;&gt;"",#REF!&lt;&gt;"Fechado",#REF!&gt;=6,#REF!&lt;=8,$J159=1),1,0)</f>
        <v>#REF!</v>
      </c>
      <c r="M159" s="17" t="e">
        <f ca="1">IF(AND(#REF!&lt;&gt;"",#REF!&lt;&gt;"Fechado",#REF!=9,$J159=1),1,0)</f>
        <v>#REF!</v>
      </c>
      <c r="N159" s="17" t="e">
        <f ca="1">IF(AND(#REF!&lt;&gt;"",#REF!&lt;&gt;"Fechado",#REF!=10,$J159=1),1,0)</f>
        <v>#REF!</v>
      </c>
      <c r="O159" s="17" t="e">
        <f ca="1">IF(AND(#REF!&lt;&gt;"",#REF!&lt;&gt;"Fechado",#REF!&gt;10,$J159=1),1,0)</f>
        <v>#REF!</v>
      </c>
    </row>
    <row r="160" spans="2:15" ht="14.4" x14ac:dyDescent="0.3">
      <c r="B160" s="5"/>
      <c r="C160" s="6"/>
      <c r="D160" s="7"/>
      <c r="E160" s="7"/>
      <c r="F160" s="1" t="str">
        <f t="shared" ca="1" si="10"/>
        <v/>
      </c>
      <c r="G160" s="27" t="str">
        <f t="shared" ca="1" si="8"/>
        <v/>
      </c>
      <c r="H160" s="10"/>
      <c r="J160" s="17">
        <f t="shared" ca="1" si="9"/>
        <v>0</v>
      </c>
      <c r="K160" s="17" t="e">
        <f ca="1">IF(AND(#REF!&lt;&gt;"",#REF!&lt;&gt;"Fechado",#REF!&gt;=0,#REF!&lt;=5,$J160=1),1,0)</f>
        <v>#REF!</v>
      </c>
      <c r="L160" s="17" t="e">
        <f ca="1">IF(AND(#REF!&lt;&gt;"",#REF!&lt;&gt;"Fechado",#REF!&gt;=6,#REF!&lt;=8,$J160=1),1,0)</f>
        <v>#REF!</v>
      </c>
      <c r="M160" s="17" t="e">
        <f ca="1">IF(AND(#REF!&lt;&gt;"",#REF!&lt;&gt;"Fechado",#REF!=9,$J160=1),1,0)</f>
        <v>#REF!</v>
      </c>
      <c r="N160" s="17" t="e">
        <f ca="1">IF(AND(#REF!&lt;&gt;"",#REF!&lt;&gt;"Fechado",#REF!=10,$J160=1),1,0)</f>
        <v>#REF!</v>
      </c>
      <c r="O160" s="17" t="e">
        <f ca="1">IF(AND(#REF!&lt;&gt;"",#REF!&lt;&gt;"Fechado",#REF!&gt;10,$J160=1),1,0)</f>
        <v>#REF!</v>
      </c>
    </row>
    <row r="161" spans="2:15" ht="14.4" x14ac:dyDescent="0.3">
      <c r="B161" s="5"/>
      <c r="C161" s="6"/>
      <c r="D161" s="7"/>
      <c r="E161" s="7"/>
      <c r="F161" s="1" t="str">
        <f t="shared" ca="1" si="10"/>
        <v/>
      </c>
      <c r="G161" s="27" t="str">
        <f t="shared" ca="1" si="8"/>
        <v/>
      </c>
      <c r="H161" s="10"/>
      <c r="J161" s="17">
        <f t="shared" ca="1" si="9"/>
        <v>0</v>
      </c>
      <c r="K161" s="17" t="e">
        <f ca="1">IF(AND(#REF!&lt;&gt;"",#REF!&lt;&gt;"Fechado",#REF!&gt;=0,#REF!&lt;=5,$J161=1),1,0)</f>
        <v>#REF!</v>
      </c>
      <c r="L161" s="17" t="e">
        <f ca="1">IF(AND(#REF!&lt;&gt;"",#REF!&lt;&gt;"Fechado",#REF!&gt;=6,#REF!&lt;=8,$J161=1),1,0)</f>
        <v>#REF!</v>
      </c>
      <c r="M161" s="17" t="e">
        <f ca="1">IF(AND(#REF!&lt;&gt;"",#REF!&lt;&gt;"Fechado",#REF!=9,$J161=1),1,0)</f>
        <v>#REF!</v>
      </c>
      <c r="N161" s="17" t="e">
        <f ca="1">IF(AND(#REF!&lt;&gt;"",#REF!&lt;&gt;"Fechado",#REF!=10,$J161=1),1,0)</f>
        <v>#REF!</v>
      </c>
      <c r="O161" s="17" t="e">
        <f ca="1">IF(AND(#REF!&lt;&gt;"",#REF!&lt;&gt;"Fechado",#REF!&gt;10,$J161=1),1,0)</f>
        <v>#REF!</v>
      </c>
    </row>
    <row r="162" spans="2:15" ht="14.4" x14ac:dyDescent="0.3">
      <c r="B162" s="5"/>
      <c r="C162" s="6"/>
      <c r="D162" s="7"/>
      <c r="E162" s="7"/>
      <c r="F162" s="1" t="str">
        <f t="shared" ca="1" si="10"/>
        <v/>
      </c>
      <c r="G162" s="27" t="str">
        <f t="shared" ca="1" si="8"/>
        <v/>
      </c>
      <c r="H162" s="10"/>
      <c r="J162" s="17">
        <f t="shared" ca="1" si="9"/>
        <v>0</v>
      </c>
      <c r="K162" s="17" t="e">
        <f ca="1">IF(AND(#REF!&lt;&gt;"",#REF!&lt;&gt;"Fechado",#REF!&gt;=0,#REF!&lt;=5,$J162=1),1,0)</f>
        <v>#REF!</v>
      </c>
      <c r="L162" s="17" t="e">
        <f ca="1">IF(AND(#REF!&lt;&gt;"",#REF!&lt;&gt;"Fechado",#REF!&gt;=6,#REF!&lt;=8,$J162=1),1,0)</f>
        <v>#REF!</v>
      </c>
      <c r="M162" s="17" t="e">
        <f ca="1">IF(AND(#REF!&lt;&gt;"",#REF!&lt;&gt;"Fechado",#REF!=9,$J162=1),1,0)</f>
        <v>#REF!</v>
      </c>
      <c r="N162" s="17" t="e">
        <f ca="1">IF(AND(#REF!&lt;&gt;"",#REF!&lt;&gt;"Fechado",#REF!=10,$J162=1),1,0)</f>
        <v>#REF!</v>
      </c>
      <c r="O162" s="17" t="e">
        <f ca="1">IF(AND(#REF!&lt;&gt;"",#REF!&lt;&gt;"Fechado",#REF!&gt;10,$J162=1),1,0)</f>
        <v>#REF!</v>
      </c>
    </row>
    <row r="163" spans="2:15" ht="14.4" x14ac:dyDescent="0.3">
      <c r="B163" s="5"/>
      <c r="C163" s="6"/>
      <c r="D163" s="7"/>
      <c r="E163" s="7"/>
      <c r="F163" s="1" t="str">
        <f t="shared" ca="1" si="10"/>
        <v/>
      </c>
      <c r="G163" s="27" t="str">
        <f t="shared" ca="1" si="8"/>
        <v/>
      </c>
      <c r="H163" s="10"/>
      <c r="J163" s="17">
        <f t="shared" ca="1" si="9"/>
        <v>0</v>
      </c>
      <c r="K163" s="17" t="e">
        <f ca="1">IF(AND(#REF!&lt;&gt;"",#REF!&lt;&gt;"Fechado",#REF!&gt;=0,#REF!&lt;=5,$J163=1),1,0)</f>
        <v>#REF!</v>
      </c>
      <c r="L163" s="17" t="e">
        <f ca="1">IF(AND(#REF!&lt;&gt;"",#REF!&lt;&gt;"Fechado",#REF!&gt;=6,#REF!&lt;=8,$J163=1),1,0)</f>
        <v>#REF!</v>
      </c>
      <c r="M163" s="17" t="e">
        <f ca="1">IF(AND(#REF!&lt;&gt;"",#REF!&lt;&gt;"Fechado",#REF!=9,$J163=1),1,0)</f>
        <v>#REF!</v>
      </c>
      <c r="N163" s="17" t="e">
        <f ca="1">IF(AND(#REF!&lt;&gt;"",#REF!&lt;&gt;"Fechado",#REF!=10,$J163=1),1,0)</f>
        <v>#REF!</v>
      </c>
      <c r="O163" s="17" t="e">
        <f ca="1">IF(AND(#REF!&lt;&gt;"",#REF!&lt;&gt;"Fechado",#REF!&gt;10,$J163=1),1,0)</f>
        <v>#REF!</v>
      </c>
    </row>
    <row r="164" spans="2:15" ht="14.4" x14ac:dyDescent="0.3">
      <c r="B164" s="5"/>
      <c r="C164" s="6"/>
      <c r="D164" s="7"/>
      <c r="E164" s="7"/>
      <c r="F164" s="1" t="str">
        <f t="shared" ca="1" si="10"/>
        <v/>
      </c>
      <c r="G164" s="27" t="str">
        <f t="shared" ca="1" si="8"/>
        <v/>
      </c>
      <c r="H164" s="10"/>
      <c r="J164" s="17">
        <f t="shared" ca="1" si="9"/>
        <v>0</v>
      </c>
      <c r="K164" s="17" t="e">
        <f ca="1">IF(AND(#REF!&lt;&gt;"",#REF!&lt;&gt;"Fechado",#REF!&gt;=0,#REF!&lt;=5,$J164=1),1,0)</f>
        <v>#REF!</v>
      </c>
      <c r="L164" s="17" t="e">
        <f ca="1">IF(AND(#REF!&lt;&gt;"",#REF!&lt;&gt;"Fechado",#REF!&gt;=6,#REF!&lt;=8,$J164=1),1,0)</f>
        <v>#REF!</v>
      </c>
      <c r="M164" s="17" t="e">
        <f ca="1">IF(AND(#REF!&lt;&gt;"",#REF!&lt;&gt;"Fechado",#REF!=9,$J164=1),1,0)</f>
        <v>#REF!</v>
      </c>
      <c r="N164" s="17" t="e">
        <f ca="1">IF(AND(#REF!&lt;&gt;"",#REF!&lt;&gt;"Fechado",#REF!=10,$J164=1),1,0)</f>
        <v>#REF!</v>
      </c>
      <c r="O164" s="17" t="e">
        <f ca="1">IF(AND(#REF!&lt;&gt;"",#REF!&lt;&gt;"Fechado",#REF!&gt;10,$J164=1),1,0)</f>
        <v>#REF!</v>
      </c>
    </row>
    <row r="165" spans="2:15" ht="14.4" x14ac:dyDescent="0.3">
      <c r="B165" s="5"/>
      <c r="C165" s="6"/>
      <c r="D165" s="7"/>
      <c r="E165" s="7"/>
      <c r="F165" s="1" t="str">
        <f t="shared" ca="1" si="10"/>
        <v/>
      </c>
      <c r="G165" s="27" t="str">
        <f t="shared" ca="1" si="8"/>
        <v/>
      </c>
      <c r="H165" s="10"/>
      <c r="J165" s="17">
        <f t="shared" ca="1" si="9"/>
        <v>0</v>
      </c>
      <c r="K165" s="17" t="e">
        <f ca="1">IF(AND(#REF!&lt;&gt;"",#REF!&lt;&gt;"Fechado",#REF!&gt;=0,#REF!&lt;=5,$J165=1),1,0)</f>
        <v>#REF!</v>
      </c>
      <c r="L165" s="17" t="e">
        <f ca="1">IF(AND(#REF!&lt;&gt;"",#REF!&lt;&gt;"Fechado",#REF!&gt;=6,#REF!&lt;=8,$J165=1),1,0)</f>
        <v>#REF!</v>
      </c>
      <c r="M165" s="17" t="e">
        <f ca="1">IF(AND(#REF!&lt;&gt;"",#REF!&lt;&gt;"Fechado",#REF!=9,$J165=1),1,0)</f>
        <v>#REF!</v>
      </c>
      <c r="N165" s="17" t="e">
        <f ca="1">IF(AND(#REF!&lt;&gt;"",#REF!&lt;&gt;"Fechado",#REF!=10,$J165=1),1,0)</f>
        <v>#REF!</v>
      </c>
      <c r="O165" s="17" t="e">
        <f ca="1">IF(AND(#REF!&lt;&gt;"",#REF!&lt;&gt;"Fechado",#REF!&gt;10,$J165=1),1,0)</f>
        <v>#REF!</v>
      </c>
    </row>
    <row r="166" spans="2:15" ht="14.4" x14ac:dyDescent="0.3">
      <c r="B166" s="5"/>
      <c r="C166" s="6"/>
      <c r="D166" s="7"/>
      <c r="E166" s="7"/>
      <c r="F166" s="1" t="str">
        <f t="shared" ca="1" si="10"/>
        <v/>
      </c>
      <c r="G166" s="27" t="str">
        <f t="shared" ca="1" si="8"/>
        <v/>
      </c>
      <c r="H166" s="10"/>
      <c r="J166" s="17">
        <f t="shared" ca="1" si="9"/>
        <v>0</v>
      </c>
      <c r="K166" s="17" t="e">
        <f ca="1">IF(AND(#REF!&lt;&gt;"",#REF!&lt;&gt;"Fechado",#REF!&gt;=0,#REF!&lt;=5,$J166=1),1,0)</f>
        <v>#REF!</v>
      </c>
      <c r="L166" s="17" t="e">
        <f ca="1">IF(AND(#REF!&lt;&gt;"",#REF!&lt;&gt;"Fechado",#REF!&gt;=6,#REF!&lt;=8,$J166=1),1,0)</f>
        <v>#REF!</v>
      </c>
      <c r="M166" s="17" t="e">
        <f ca="1">IF(AND(#REF!&lt;&gt;"",#REF!&lt;&gt;"Fechado",#REF!=9,$J166=1),1,0)</f>
        <v>#REF!</v>
      </c>
      <c r="N166" s="17" t="e">
        <f ca="1">IF(AND(#REF!&lt;&gt;"",#REF!&lt;&gt;"Fechado",#REF!=10,$J166=1),1,0)</f>
        <v>#REF!</v>
      </c>
      <c r="O166" s="17" t="e">
        <f ca="1">IF(AND(#REF!&lt;&gt;"",#REF!&lt;&gt;"Fechado",#REF!&gt;10,$J166=1),1,0)</f>
        <v>#REF!</v>
      </c>
    </row>
    <row r="167" spans="2:15" ht="14.4" x14ac:dyDescent="0.3">
      <c r="B167" s="5"/>
      <c r="C167" s="6"/>
      <c r="D167" s="7"/>
      <c r="E167" s="7"/>
      <c r="F167" s="1" t="str">
        <f t="shared" ca="1" si="10"/>
        <v/>
      </c>
      <c r="G167" s="27" t="str">
        <f t="shared" ca="1" si="8"/>
        <v/>
      </c>
      <c r="H167" s="10"/>
      <c r="J167" s="17">
        <f t="shared" ca="1" si="9"/>
        <v>0</v>
      </c>
      <c r="K167" s="17" t="e">
        <f ca="1">IF(AND(#REF!&lt;&gt;"",#REF!&lt;&gt;"Fechado",#REF!&gt;=0,#REF!&lt;=5,$J167=1),1,0)</f>
        <v>#REF!</v>
      </c>
      <c r="L167" s="17" t="e">
        <f ca="1">IF(AND(#REF!&lt;&gt;"",#REF!&lt;&gt;"Fechado",#REF!&gt;=6,#REF!&lt;=8,$J167=1),1,0)</f>
        <v>#REF!</v>
      </c>
      <c r="M167" s="17" t="e">
        <f ca="1">IF(AND(#REF!&lt;&gt;"",#REF!&lt;&gt;"Fechado",#REF!=9,$J167=1),1,0)</f>
        <v>#REF!</v>
      </c>
      <c r="N167" s="17" t="e">
        <f ca="1">IF(AND(#REF!&lt;&gt;"",#REF!&lt;&gt;"Fechado",#REF!=10,$J167=1),1,0)</f>
        <v>#REF!</v>
      </c>
      <c r="O167" s="17" t="e">
        <f ca="1">IF(AND(#REF!&lt;&gt;"",#REF!&lt;&gt;"Fechado",#REF!&gt;10,$J167=1),1,0)</f>
        <v>#REF!</v>
      </c>
    </row>
    <row r="168" spans="2:15" ht="14.4" x14ac:dyDescent="0.3">
      <c r="B168" s="5"/>
      <c r="C168" s="6"/>
      <c r="D168" s="7"/>
      <c r="E168" s="7"/>
      <c r="F168" s="1" t="str">
        <f t="shared" ca="1" si="10"/>
        <v/>
      </c>
      <c r="G168" s="27" t="str">
        <f t="shared" ca="1" si="8"/>
        <v/>
      </c>
      <c r="H168" s="10"/>
      <c r="J168" s="17">
        <f t="shared" ca="1" si="9"/>
        <v>0</v>
      </c>
      <c r="K168" s="17" t="e">
        <f ca="1">IF(AND(#REF!&lt;&gt;"",#REF!&lt;&gt;"Fechado",#REF!&gt;=0,#REF!&lt;=5,$J168=1),1,0)</f>
        <v>#REF!</v>
      </c>
      <c r="L168" s="17" t="e">
        <f ca="1">IF(AND(#REF!&lt;&gt;"",#REF!&lt;&gt;"Fechado",#REF!&gt;=6,#REF!&lt;=8,$J168=1),1,0)</f>
        <v>#REF!</v>
      </c>
      <c r="M168" s="17" t="e">
        <f ca="1">IF(AND(#REF!&lt;&gt;"",#REF!&lt;&gt;"Fechado",#REF!=9,$J168=1),1,0)</f>
        <v>#REF!</v>
      </c>
      <c r="N168" s="17" t="e">
        <f ca="1">IF(AND(#REF!&lt;&gt;"",#REF!&lt;&gt;"Fechado",#REF!=10,$J168=1),1,0)</f>
        <v>#REF!</v>
      </c>
      <c r="O168" s="17" t="e">
        <f ca="1">IF(AND(#REF!&lt;&gt;"",#REF!&lt;&gt;"Fechado",#REF!&gt;10,$J168=1),1,0)</f>
        <v>#REF!</v>
      </c>
    </row>
    <row r="169" spans="2:15" ht="14.4" x14ac:dyDescent="0.3">
      <c r="B169" s="5"/>
      <c r="C169" s="6"/>
      <c r="D169" s="7"/>
      <c r="E169" s="7"/>
      <c r="F169" s="1" t="str">
        <f t="shared" ca="1" si="10"/>
        <v/>
      </c>
      <c r="G169" s="27" t="str">
        <f t="shared" ca="1" si="8"/>
        <v/>
      </c>
      <c r="H169" s="10"/>
      <c r="J169" s="17">
        <f t="shared" ca="1" si="9"/>
        <v>0</v>
      </c>
      <c r="K169" s="17" t="e">
        <f ca="1">IF(AND(#REF!&lt;&gt;"",#REF!&lt;&gt;"Fechado",#REF!&gt;=0,#REF!&lt;=5,$J169=1),1,0)</f>
        <v>#REF!</v>
      </c>
      <c r="L169" s="17" t="e">
        <f ca="1">IF(AND(#REF!&lt;&gt;"",#REF!&lt;&gt;"Fechado",#REF!&gt;=6,#REF!&lt;=8,$J169=1),1,0)</f>
        <v>#REF!</v>
      </c>
      <c r="M169" s="17" t="e">
        <f ca="1">IF(AND(#REF!&lt;&gt;"",#REF!&lt;&gt;"Fechado",#REF!=9,$J169=1),1,0)</f>
        <v>#REF!</v>
      </c>
      <c r="N169" s="17" t="e">
        <f ca="1">IF(AND(#REF!&lt;&gt;"",#REF!&lt;&gt;"Fechado",#REF!=10,$J169=1),1,0)</f>
        <v>#REF!</v>
      </c>
      <c r="O169" s="17" t="e">
        <f ca="1">IF(AND(#REF!&lt;&gt;"",#REF!&lt;&gt;"Fechado",#REF!&gt;10,$J169=1),1,0)</f>
        <v>#REF!</v>
      </c>
    </row>
    <row r="170" spans="2:15" ht="14.4" x14ac:dyDescent="0.3">
      <c r="B170" s="5"/>
      <c r="C170" s="6"/>
      <c r="D170" s="7"/>
      <c r="E170" s="7"/>
      <c r="F170" s="1" t="str">
        <f t="shared" ca="1" si="10"/>
        <v/>
      </c>
      <c r="G170" s="27" t="str">
        <f t="shared" ca="1" si="8"/>
        <v/>
      </c>
      <c r="H170" s="10"/>
      <c r="J170" s="17">
        <f t="shared" ca="1" si="9"/>
        <v>0</v>
      </c>
      <c r="K170" s="17" t="e">
        <f ca="1">IF(AND(#REF!&lt;&gt;"",#REF!&lt;&gt;"Fechado",#REF!&gt;=0,#REF!&lt;=5,$J170=1),1,0)</f>
        <v>#REF!</v>
      </c>
      <c r="L170" s="17" t="e">
        <f ca="1">IF(AND(#REF!&lt;&gt;"",#REF!&lt;&gt;"Fechado",#REF!&gt;=6,#REF!&lt;=8,$J170=1),1,0)</f>
        <v>#REF!</v>
      </c>
      <c r="M170" s="17" t="e">
        <f ca="1">IF(AND(#REF!&lt;&gt;"",#REF!&lt;&gt;"Fechado",#REF!=9,$J170=1),1,0)</f>
        <v>#REF!</v>
      </c>
      <c r="N170" s="17" t="e">
        <f ca="1">IF(AND(#REF!&lt;&gt;"",#REF!&lt;&gt;"Fechado",#REF!=10,$J170=1),1,0)</f>
        <v>#REF!</v>
      </c>
      <c r="O170" s="17" t="e">
        <f ca="1">IF(AND(#REF!&lt;&gt;"",#REF!&lt;&gt;"Fechado",#REF!&gt;10,$J170=1),1,0)</f>
        <v>#REF!</v>
      </c>
    </row>
    <row r="171" spans="2:15" ht="14.4" x14ac:dyDescent="0.3">
      <c r="B171" s="5"/>
      <c r="C171" s="6"/>
      <c r="D171" s="7"/>
      <c r="E171" s="7"/>
      <c r="F171" s="1" t="str">
        <f t="shared" ca="1" si="10"/>
        <v/>
      </c>
      <c r="G171" s="27" t="str">
        <f t="shared" ca="1" si="8"/>
        <v/>
      </c>
      <c r="H171" s="10"/>
      <c r="J171" s="17">
        <f t="shared" ca="1" si="9"/>
        <v>0</v>
      </c>
      <c r="K171" s="17" t="e">
        <f ca="1">IF(AND(#REF!&lt;&gt;"",#REF!&lt;&gt;"Fechado",#REF!&gt;=0,#REF!&lt;=5,$J171=1),1,0)</f>
        <v>#REF!</v>
      </c>
      <c r="L171" s="17" t="e">
        <f ca="1">IF(AND(#REF!&lt;&gt;"",#REF!&lt;&gt;"Fechado",#REF!&gt;=6,#REF!&lt;=8,$J171=1),1,0)</f>
        <v>#REF!</v>
      </c>
      <c r="M171" s="17" t="e">
        <f ca="1">IF(AND(#REF!&lt;&gt;"",#REF!&lt;&gt;"Fechado",#REF!=9,$J171=1),1,0)</f>
        <v>#REF!</v>
      </c>
      <c r="N171" s="17" t="e">
        <f ca="1">IF(AND(#REF!&lt;&gt;"",#REF!&lt;&gt;"Fechado",#REF!=10,$J171=1),1,0)</f>
        <v>#REF!</v>
      </c>
      <c r="O171" s="17" t="e">
        <f ca="1">IF(AND(#REF!&lt;&gt;"",#REF!&lt;&gt;"Fechado",#REF!&gt;10,$J171=1),1,0)</f>
        <v>#REF!</v>
      </c>
    </row>
    <row r="172" spans="2:15" ht="14.4" x14ac:dyDescent="0.3">
      <c r="B172" s="5"/>
      <c r="C172" s="6"/>
      <c r="D172" s="7"/>
      <c r="E172" s="7"/>
      <c r="F172" s="1" t="str">
        <f t="shared" ca="1" si="10"/>
        <v/>
      </c>
      <c r="G172" s="27" t="str">
        <f t="shared" ca="1" si="8"/>
        <v/>
      </c>
      <c r="H172" s="10"/>
      <c r="J172" s="17">
        <f t="shared" ca="1" si="9"/>
        <v>0</v>
      </c>
      <c r="K172" s="17" t="e">
        <f ca="1">IF(AND(#REF!&lt;&gt;"",#REF!&lt;&gt;"Fechado",#REF!&gt;=0,#REF!&lt;=5,$J172=1),1,0)</f>
        <v>#REF!</v>
      </c>
      <c r="L172" s="17" t="e">
        <f ca="1">IF(AND(#REF!&lt;&gt;"",#REF!&lt;&gt;"Fechado",#REF!&gt;=6,#REF!&lt;=8,$J172=1),1,0)</f>
        <v>#REF!</v>
      </c>
      <c r="M172" s="17" t="e">
        <f ca="1">IF(AND(#REF!&lt;&gt;"",#REF!&lt;&gt;"Fechado",#REF!=9,$J172=1),1,0)</f>
        <v>#REF!</v>
      </c>
      <c r="N172" s="17" t="e">
        <f ca="1">IF(AND(#REF!&lt;&gt;"",#REF!&lt;&gt;"Fechado",#REF!=10,$J172=1),1,0)</f>
        <v>#REF!</v>
      </c>
      <c r="O172" s="17" t="e">
        <f ca="1">IF(AND(#REF!&lt;&gt;"",#REF!&lt;&gt;"Fechado",#REF!&gt;10,$J172=1),1,0)</f>
        <v>#REF!</v>
      </c>
    </row>
    <row r="173" spans="2:15" ht="14.4" x14ac:dyDescent="0.3">
      <c r="B173" s="5"/>
      <c r="C173" s="6"/>
      <c r="D173" s="7"/>
      <c r="E173" s="7"/>
      <c r="F173" s="1" t="str">
        <f t="shared" ca="1" si="10"/>
        <v/>
      </c>
      <c r="G173" s="27" t="str">
        <f t="shared" ca="1" si="8"/>
        <v/>
      </c>
      <c r="H173" s="10"/>
      <c r="J173" s="17">
        <f t="shared" ca="1" si="9"/>
        <v>0</v>
      </c>
      <c r="K173" s="17" t="e">
        <f ca="1">IF(AND(#REF!&lt;&gt;"",#REF!&lt;&gt;"Fechado",#REF!&gt;=0,#REF!&lt;=5,$J173=1),1,0)</f>
        <v>#REF!</v>
      </c>
      <c r="L173" s="17" t="e">
        <f ca="1">IF(AND(#REF!&lt;&gt;"",#REF!&lt;&gt;"Fechado",#REF!&gt;=6,#REF!&lt;=8,$J173=1),1,0)</f>
        <v>#REF!</v>
      </c>
      <c r="M173" s="17" t="e">
        <f ca="1">IF(AND(#REF!&lt;&gt;"",#REF!&lt;&gt;"Fechado",#REF!=9,$J173=1),1,0)</f>
        <v>#REF!</v>
      </c>
      <c r="N173" s="17" t="e">
        <f ca="1">IF(AND(#REF!&lt;&gt;"",#REF!&lt;&gt;"Fechado",#REF!=10,$J173=1),1,0)</f>
        <v>#REF!</v>
      </c>
      <c r="O173" s="17" t="e">
        <f ca="1">IF(AND(#REF!&lt;&gt;"",#REF!&lt;&gt;"Fechado",#REF!&gt;10,$J173=1),1,0)</f>
        <v>#REF!</v>
      </c>
    </row>
    <row r="174" spans="2:15" ht="14.4" x14ac:dyDescent="0.3">
      <c r="B174" s="5"/>
      <c r="C174" s="6"/>
      <c r="D174" s="7"/>
      <c r="E174" s="7"/>
      <c r="F174" s="1" t="str">
        <f t="shared" ca="1" si="10"/>
        <v/>
      </c>
      <c r="G174" s="27" t="str">
        <f t="shared" ca="1" si="8"/>
        <v/>
      </c>
      <c r="H174" s="10"/>
      <c r="J174" s="17">
        <f t="shared" ca="1" si="9"/>
        <v>0</v>
      </c>
      <c r="K174" s="17" t="e">
        <f ca="1">IF(AND(#REF!&lt;&gt;"",#REF!&lt;&gt;"Fechado",#REF!&gt;=0,#REF!&lt;=5,$J174=1),1,0)</f>
        <v>#REF!</v>
      </c>
      <c r="L174" s="17" t="e">
        <f ca="1">IF(AND(#REF!&lt;&gt;"",#REF!&lt;&gt;"Fechado",#REF!&gt;=6,#REF!&lt;=8,$J174=1),1,0)</f>
        <v>#REF!</v>
      </c>
      <c r="M174" s="17" t="e">
        <f ca="1">IF(AND(#REF!&lt;&gt;"",#REF!&lt;&gt;"Fechado",#REF!=9,$J174=1),1,0)</f>
        <v>#REF!</v>
      </c>
      <c r="N174" s="17" t="e">
        <f ca="1">IF(AND(#REF!&lt;&gt;"",#REF!&lt;&gt;"Fechado",#REF!=10,$J174=1),1,0)</f>
        <v>#REF!</v>
      </c>
      <c r="O174" s="17" t="e">
        <f ca="1">IF(AND(#REF!&lt;&gt;"",#REF!&lt;&gt;"Fechado",#REF!&gt;10,$J174=1),1,0)</f>
        <v>#REF!</v>
      </c>
    </row>
    <row r="175" spans="2:15" ht="14.4" x14ac:dyDescent="0.3">
      <c r="B175" s="5"/>
      <c r="C175" s="6"/>
      <c r="D175" s="7"/>
      <c r="E175" s="7"/>
      <c r="F175" s="1" t="str">
        <f t="shared" ca="1" si="10"/>
        <v/>
      </c>
      <c r="G175" s="27" t="str">
        <f t="shared" ca="1" si="8"/>
        <v/>
      </c>
      <c r="H175" s="10"/>
      <c r="J175" s="17">
        <f t="shared" ca="1" si="9"/>
        <v>0</v>
      </c>
      <c r="K175" s="17" t="e">
        <f ca="1">IF(AND(#REF!&lt;&gt;"",#REF!&lt;&gt;"Fechado",#REF!&gt;=0,#REF!&lt;=5,$J175=1),1,0)</f>
        <v>#REF!</v>
      </c>
      <c r="L175" s="17" t="e">
        <f ca="1">IF(AND(#REF!&lt;&gt;"",#REF!&lt;&gt;"Fechado",#REF!&gt;=6,#REF!&lt;=8,$J175=1),1,0)</f>
        <v>#REF!</v>
      </c>
      <c r="M175" s="17" t="e">
        <f ca="1">IF(AND(#REF!&lt;&gt;"",#REF!&lt;&gt;"Fechado",#REF!=9,$J175=1),1,0)</f>
        <v>#REF!</v>
      </c>
      <c r="N175" s="17" t="e">
        <f ca="1">IF(AND(#REF!&lt;&gt;"",#REF!&lt;&gt;"Fechado",#REF!=10,$J175=1),1,0)</f>
        <v>#REF!</v>
      </c>
      <c r="O175" s="17" t="e">
        <f ca="1">IF(AND(#REF!&lt;&gt;"",#REF!&lt;&gt;"Fechado",#REF!&gt;10,$J175=1),1,0)</f>
        <v>#REF!</v>
      </c>
    </row>
    <row r="176" spans="2:15" ht="14.4" x14ac:dyDescent="0.3">
      <c r="B176" s="5"/>
      <c r="C176" s="6"/>
      <c r="D176" s="7"/>
      <c r="E176" s="7"/>
      <c r="F176" s="1" t="str">
        <f t="shared" ca="1" si="10"/>
        <v/>
      </c>
      <c r="G176" s="27" t="str">
        <f t="shared" ca="1" si="8"/>
        <v/>
      </c>
      <c r="H176" s="10"/>
      <c r="J176" s="17">
        <f t="shared" ca="1" si="9"/>
        <v>0</v>
      </c>
      <c r="K176" s="17" t="e">
        <f ca="1">IF(AND(#REF!&lt;&gt;"",#REF!&lt;&gt;"Fechado",#REF!&gt;=0,#REF!&lt;=5,$J176=1),1,0)</f>
        <v>#REF!</v>
      </c>
      <c r="L176" s="17" t="e">
        <f ca="1">IF(AND(#REF!&lt;&gt;"",#REF!&lt;&gt;"Fechado",#REF!&gt;=6,#REF!&lt;=8,$J176=1),1,0)</f>
        <v>#REF!</v>
      </c>
      <c r="M176" s="17" t="e">
        <f ca="1">IF(AND(#REF!&lt;&gt;"",#REF!&lt;&gt;"Fechado",#REF!=9,$J176=1),1,0)</f>
        <v>#REF!</v>
      </c>
      <c r="N176" s="17" t="e">
        <f ca="1">IF(AND(#REF!&lt;&gt;"",#REF!&lt;&gt;"Fechado",#REF!=10,$J176=1),1,0)</f>
        <v>#REF!</v>
      </c>
      <c r="O176" s="17" t="e">
        <f ca="1">IF(AND(#REF!&lt;&gt;"",#REF!&lt;&gt;"Fechado",#REF!&gt;10,$J176=1),1,0)</f>
        <v>#REF!</v>
      </c>
    </row>
    <row r="177" spans="2:15" ht="14.4" x14ac:dyDescent="0.3">
      <c r="B177" s="5"/>
      <c r="C177" s="6"/>
      <c r="D177" s="7"/>
      <c r="E177" s="7"/>
      <c r="F177" s="1" t="str">
        <f t="shared" ca="1" si="10"/>
        <v/>
      </c>
      <c r="G177" s="27" t="str">
        <f t="shared" ca="1" si="8"/>
        <v/>
      </c>
      <c r="H177" s="10"/>
      <c r="J177" s="17">
        <f t="shared" ca="1" si="9"/>
        <v>0</v>
      </c>
      <c r="K177" s="17" t="e">
        <f ca="1">IF(AND(#REF!&lt;&gt;"",#REF!&lt;&gt;"Fechado",#REF!&gt;=0,#REF!&lt;=5,$J177=1),1,0)</f>
        <v>#REF!</v>
      </c>
      <c r="L177" s="17" t="e">
        <f ca="1">IF(AND(#REF!&lt;&gt;"",#REF!&lt;&gt;"Fechado",#REF!&gt;=6,#REF!&lt;=8,$J177=1),1,0)</f>
        <v>#REF!</v>
      </c>
      <c r="M177" s="17" t="e">
        <f ca="1">IF(AND(#REF!&lt;&gt;"",#REF!&lt;&gt;"Fechado",#REF!=9,$J177=1),1,0)</f>
        <v>#REF!</v>
      </c>
      <c r="N177" s="17" t="e">
        <f ca="1">IF(AND(#REF!&lt;&gt;"",#REF!&lt;&gt;"Fechado",#REF!=10,$J177=1),1,0)</f>
        <v>#REF!</v>
      </c>
      <c r="O177" s="17" t="e">
        <f ca="1">IF(AND(#REF!&lt;&gt;"",#REF!&lt;&gt;"Fechado",#REF!&gt;10,$J177=1),1,0)</f>
        <v>#REF!</v>
      </c>
    </row>
    <row r="178" spans="2:15" ht="15" customHeight="1" x14ac:dyDescent="0.3">
      <c r="D178" s="14"/>
      <c r="E178" s="14"/>
      <c r="F178" s="28" t="str">
        <f t="shared" ref="F178:F210" ca="1" si="11">IF(AND($D178&lt;&gt;"", ISNUMBER($D178)), IF(AND($E178&lt;&gt;"", ISNUMBER($E178)), $E178-$D178, TODAY()-$D178), "")</f>
        <v/>
      </c>
    </row>
    <row r="179" spans="2:15" ht="15" customHeight="1" x14ac:dyDescent="0.3">
      <c r="D179" s="14"/>
      <c r="E179" s="14"/>
      <c r="F179" s="28" t="str">
        <f t="shared" ca="1" si="11"/>
        <v/>
      </c>
    </row>
    <row r="180" spans="2:15" ht="15" customHeight="1" x14ac:dyDescent="0.3">
      <c r="D180" s="14"/>
      <c r="E180" s="14"/>
      <c r="F180" s="28" t="str">
        <f t="shared" ca="1" si="11"/>
        <v/>
      </c>
    </row>
    <row r="181" spans="2:15" ht="15" customHeight="1" x14ac:dyDescent="0.3">
      <c r="D181" s="14"/>
      <c r="E181" s="14"/>
      <c r="F181" s="28" t="str">
        <f t="shared" ca="1" si="11"/>
        <v/>
      </c>
    </row>
    <row r="182" spans="2:15" ht="15" customHeight="1" x14ac:dyDescent="0.3">
      <c r="D182" s="14"/>
      <c r="E182" s="14"/>
      <c r="F182" s="28" t="str">
        <f t="shared" ca="1" si="11"/>
        <v/>
      </c>
    </row>
    <row r="183" spans="2:15" ht="15" customHeight="1" x14ac:dyDescent="0.3">
      <c r="D183" s="14"/>
      <c r="E183" s="14"/>
      <c r="F183" s="28" t="str">
        <f t="shared" ca="1" si="11"/>
        <v/>
      </c>
    </row>
    <row r="184" spans="2:15" ht="15" customHeight="1" x14ac:dyDescent="0.3">
      <c r="D184" s="14"/>
      <c r="E184" s="14"/>
      <c r="F184" s="28" t="str">
        <f t="shared" ca="1" si="11"/>
        <v/>
      </c>
    </row>
    <row r="185" spans="2:15" ht="15" customHeight="1" x14ac:dyDescent="0.3">
      <c r="D185" s="14"/>
      <c r="E185" s="14"/>
      <c r="F185" s="28" t="str">
        <f t="shared" ca="1" si="11"/>
        <v/>
      </c>
    </row>
    <row r="186" spans="2:15" ht="15" customHeight="1" x14ac:dyDescent="0.3">
      <c r="D186" s="14"/>
      <c r="E186" s="14"/>
      <c r="F186" s="28" t="str">
        <f t="shared" ca="1" si="11"/>
        <v/>
      </c>
    </row>
    <row r="187" spans="2:15" ht="15" customHeight="1" x14ac:dyDescent="0.3">
      <c r="D187" s="14"/>
      <c r="E187" s="14"/>
      <c r="F187" s="28" t="str">
        <f t="shared" ca="1" si="11"/>
        <v/>
      </c>
    </row>
    <row r="188" spans="2:15" ht="15" customHeight="1" x14ac:dyDescent="0.3">
      <c r="D188" s="14"/>
      <c r="E188" s="14"/>
      <c r="F188" s="28" t="str">
        <f t="shared" ca="1" si="11"/>
        <v/>
      </c>
    </row>
    <row r="189" spans="2:15" ht="15" customHeight="1" x14ac:dyDescent="0.3">
      <c r="D189" s="14"/>
      <c r="E189" s="14"/>
      <c r="F189" s="28" t="str">
        <f t="shared" ca="1" si="11"/>
        <v/>
      </c>
    </row>
    <row r="190" spans="2:15" ht="15" customHeight="1" x14ac:dyDescent="0.3">
      <c r="D190" s="14"/>
      <c r="E190" s="14"/>
      <c r="F190" s="28" t="str">
        <f t="shared" ca="1" si="11"/>
        <v/>
      </c>
    </row>
    <row r="191" spans="2:15" ht="15" customHeight="1" x14ac:dyDescent="0.3">
      <c r="D191" s="14"/>
      <c r="E191" s="14"/>
      <c r="F191" s="28" t="str">
        <f t="shared" ca="1" si="11"/>
        <v/>
      </c>
    </row>
    <row r="192" spans="2:15" ht="15" customHeight="1" x14ac:dyDescent="0.3">
      <c r="D192" s="14"/>
      <c r="E192" s="14"/>
      <c r="F192" s="28" t="str">
        <f t="shared" ca="1" si="11"/>
        <v/>
      </c>
    </row>
    <row r="193" spans="4:6" ht="15" customHeight="1" x14ac:dyDescent="0.3">
      <c r="D193" s="14"/>
      <c r="E193" s="14"/>
      <c r="F193" s="28" t="str">
        <f t="shared" ca="1" si="11"/>
        <v/>
      </c>
    </row>
    <row r="194" spans="4:6" ht="15" customHeight="1" x14ac:dyDescent="0.3">
      <c r="D194" s="14"/>
      <c r="E194" s="14"/>
      <c r="F194" s="28" t="str">
        <f t="shared" ca="1" si="11"/>
        <v/>
      </c>
    </row>
    <row r="195" spans="4:6" ht="15" customHeight="1" x14ac:dyDescent="0.3">
      <c r="D195" s="14"/>
      <c r="E195" s="14"/>
      <c r="F195" s="28" t="str">
        <f t="shared" ca="1" si="11"/>
        <v/>
      </c>
    </row>
    <row r="196" spans="4:6" ht="15" customHeight="1" x14ac:dyDescent="0.3">
      <c r="D196" s="14"/>
      <c r="E196" s="14"/>
      <c r="F196" s="28" t="str">
        <f t="shared" ca="1" si="11"/>
        <v/>
      </c>
    </row>
    <row r="197" spans="4:6" ht="15" customHeight="1" x14ac:dyDescent="0.3">
      <c r="D197" s="14"/>
      <c r="E197" s="14"/>
      <c r="F197" s="28" t="str">
        <f t="shared" ca="1" si="11"/>
        <v/>
      </c>
    </row>
    <row r="198" spans="4:6" ht="15" customHeight="1" x14ac:dyDescent="0.3">
      <c r="D198" s="14"/>
      <c r="E198" s="14"/>
      <c r="F198" s="28" t="str">
        <f t="shared" ca="1" si="11"/>
        <v/>
      </c>
    </row>
    <row r="199" spans="4:6" ht="15" customHeight="1" x14ac:dyDescent="0.3">
      <c r="D199" s="14"/>
      <c r="E199" s="14"/>
      <c r="F199" s="28" t="str">
        <f t="shared" ca="1" si="11"/>
        <v/>
      </c>
    </row>
    <row r="200" spans="4:6" ht="15" customHeight="1" x14ac:dyDescent="0.3">
      <c r="D200" s="14"/>
      <c r="E200" s="14"/>
      <c r="F200" s="28" t="str">
        <f t="shared" ca="1" si="11"/>
        <v/>
      </c>
    </row>
    <row r="201" spans="4:6" ht="15" customHeight="1" x14ac:dyDescent="0.3">
      <c r="D201" s="14"/>
      <c r="E201" s="14"/>
      <c r="F201" s="28" t="str">
        <f t="shared" ca="1" si="11"/>
        <v/>
      </c>
    </row>
    <row r="202" spans="4:6" ht="15" customHeight="1" x14ac:dyDescent="0.3">
      <c r="D202" s="14"/>
      <c r="E202" s="14"/>
      <c r="F202" s="28" t="str">
        <f t="shared" ca="1" si="11"/>
        <v/>
      </c>
    </row>
    <row r="203" spans="4:6" ht="15" customHeight="1" x14ac:dyDescent="0.3">
      <c r="D203" s="14"/>
      <c r="E203" s="14"/>
      <c r="F203" s="28" t="str">
        <f t="shared" ca="1" si="11"/>
        <v/>
      </c>
    </row>
    <row r="204" spans="4:6" ht="15" customHeight="1" x14ac:dyDescent="0.3">
      <c r="D204" s="14"/>
      <c r="E204" s="14"/>
      <c r="F204" s="28" t="str">
        <f t="shared" ca="1" si="11"/>
        <v/>
      </c>
    </row>
    <row r="205" spans="4:6" ht="15" customHeight="1" x14ac:dyDescent="0.3">
      <c r="D205" s="14"/>
      <c r="E205" s="14"/>
      <c r="F205" s="28" t="str">
        <f t="shared" ca="1" si="11"/>
        <v/>
      </c>
    </row>
    <row r="206" spans="4:6" ht="15" customHeight="1" x14ac:dyDescent="0.3">
      <c r="D206" s="14"/>
      <c r="E206" s="14"/>
      <c r="F206" s="28" t="str">
        <f t="shared" ca="1" si="11"/>
        <v/>
      </c>
    </row>
    <row r="207" spans="4:6" ht="15" customHeight="1" x14ac:dyDescent="0.3">
      <c r="D207" s="14"/>
      <c r="E207" s="14"/>
      <c r="F207" s="28" t="str">
        <f t="shared" ca="1" si="11"/>
        <v/>
      </c>
    </row>
    <row r="208" spans="4:6" ht="15" customHeight="1" x14ac:dyDescent="0.3">
      <c r="D208" s="14"/>
      <c r="E208" s="14"/>
      <c r="F208" s="28" t="str">
        <f t="shared" ca="1" si="11"/>
        <v/>
      </c>
    </row>
    <row r="209" spans="4:6" ht="15" customHeight="1" x14ac:dyDescent="0.3">
      <c r="D209" s="14"/>
      <c r="E209" s="14"/>
      <c r="F209" s="28" t="str">
        <f t="shared" ca="1" si="11"/>
        <v/>
      </c>
    </row>
    <row r="210" spans="4:6" ht="15" customHeight="1" x14ac:dyDescent="0.3">
      <c r="D210" s="14"/>
      <c r="E210" s="14"/>
      <c r="F210" s="28" t="str">
        <f t="shared" ca="1" si="11"/>
        <v/>
      </c>
    </row>
  </sheetData>
  <sheetProtection selectLockedCells="1" autoFilter="0"/>
  <protectedRanges>
    <protectedRange algorithmName="SHA-512" hashValue="aNeQPhBsgaG14y+2dxGMigQL2sIlDx/dFd6KwZTGTEnRPyktT9rEwrje6u6xnN+2sESbDfniKUHryXDdk0qavg==" saltValue="jTq8i7SBXn5D/iDAC66Jpg==" spinCount="100000" sqref="H5 F5:F177 G5:G177" name="Range1"/>
  </protectedRanges>
  <mergeCells count="2">
    <mergeCell ref="A1:B4"/>
    <mergeCell ref="A5:A1048576"/>
  </mergeCells>
  <conditionalFormatting sqref="G2:G177">
    <cfRule type="expression" dxfId="11" priority="37">
      <formula>AND($E2="", $D2&lt;&gt;"", TODAY()-$D2&gt;=0, TODAY()-$D2&lt;=5)</formula>
    </cfRule>
    <cfRule type="expression" dxfId="10" priority="38">
      <formula>AND($E2="", $D2&lt;&gt;"", TODAY()-$D2&gt;=6, TODAY()-$D2&lt;=10)</formula>
    </cfRule>
    <cfRule type="expression" dxfId="9" priority="39">
      <formula>AND($E2="", $D2&lt;&gt;"", TODAY()-$D2&gt;=11, TODAY()-$D2&lt;=15)</formula>
    </cfRule>
    <cfRule type="expression" dxfId="8" priority="40">
      <formula>AND($E2="", $D2&lt;&gt;"", TODAY()-$D2&gt;=16)</formula>
    </cfRule>
  </conditionalFormatting>
  <dataValidations disablePrompts="1" count="1">
    <dataValidation type="date" allowBlank="1" showInputMessage="1" showErrorMessage="1" sqref="I12:I13" xr:uid="{00000000-0002-0000-0000-000002000000}">
      <formula1>DATE(2000,1,1)</formula1>
      <formula2>DATE(2100,12,31)</formula2>
    </dataValidation>
  </dataValidations>
  <hyperlinks>
    <hyperlink ref="H6" r:id="rId1" xr:uid="{A4BFB7C5-90AF-4D27-BCB3-55EDBA874557}"/>
    <hyperlink ref="H7" r:id="rId2" xr:uid="{CB43575E-B16C-4185-9A2E-82E3DE5EB597}"/>
    <hyperlink ref="H8" r:id="rId3" xr:uid="{6C71E9C2-EFB7-4FB2-A201-C9B98BE528CF}"/>
  </hyperlinks>
  <pageMargins left="0.75" right="0.75" top="1" bottom="1" header="0.5" footer="0.5"/>
  <pageSetup paperSize="9" orientation="portrait" r:id="rId4"/>
  <headerFooter>
    <oddFooter>&amp;C_x000D_&amp;1#&amp;"Aptos"&amp;8&amp;K737373 Classificado como Uso Interno</oddFooter>
  </headerFooter>
  <drawing r:id="rId5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Chamados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FABIANO FERREIRA</cp:lastModifiedBy>
  <cp:revision/>
  <dcterms:created xsi:type="dcterms:W3CDTF">2025-10-22T18:03:43Z</dcterms:created>
  <dcterms:modified xsi:type="dcterms:W3CDTF">2025-11-16T18:33:56Z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7f406a-379f-47ee-930c-6bec6e76f2a4_Enabled">
    <vt:lpwstr>true</vt:lpwstr>
  </property>
  <property fmtid="{D5CDD505-2E9C-101B-9397-08002B2CF9AE}" pid="3" name="MSIP_Label_387f406a-379f-47ee-930c-6bec6e76f2a4_SetDate">
    <vt:lpwstr>2025-10-22T23:48:08Z</vt:lpwstr>
  </property>
  <property fmtid="{D5CDD505-2E9C-101B-9397-08002B2CF9AE}" pid="4" name="MSIP_Label_387f406a-379f-47ee-930c-6bec6e76f2a4_Method">
    <vt:lpwstr>Privileged</vt:lpwstr>
  </property>
  <property fmtid="{D5CDD505-2E9C-101B-9397-08002B2CF9AE}" pid="5" name="MSIP_Label_387f406a-379f-47ee-930c-6bec6e76f2a4_Name">
    <vt:lpwstr>387f406a-379f-47ee-930c-6bec6e76f2a4</vt:lpwstr>
  </property>
  <property fmtid="{D5CDD505-2E9C-101B-9397-08002B2CF9AE}" pid="6" name="MSIP_Label_387f406a-379f-47ee-930c-6bec6e76f2a4_SiteId">
    <vt:lpwstr>57b8c96e-ac2f-4d78-a149-f1fc6817d3c4</vt:lpwstr>
  </property>
  <property fmtid="{D5CDD505-2E9C-101B-9397-08002B2CF9AE}" pid="7" name="MSIP_Label_387f406a-379f-47ee-930c-6bec6e76f2a4_ActionId">
    <vt:lpwstr>78625116-bd4d-4ca0-9bd1-2b3aab060a6a</vt:lpwstr>
  </property>
  <property fmtid="{D5CDD505-2E9C-101B-9397-08002B2CF9AE}" pid="8" name="MSIP_Label_387f406a-379f-47ee-930c-6bec6e76f2a4_ContentBits">
    <vt:lpwstr>2</vt:lpwstr>
  </property>
  <property fmtid="{D5CDD505-2E9C-101B-9397-08002B2CF9AE}" pid="9" name="MSIP_Label_387f406a-379f-47ee-930c-6bec6e76f2a4_Tag">
    <vt:lpwstr>10, 0, 1, 2</vt:lpwstr>
  </property>
</Properties>
</file>